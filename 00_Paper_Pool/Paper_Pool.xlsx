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28bc84a99b4ead" /></Relationships>
</file>

<file path=xl/workbook.xml><?xml version="1.0" encoding="utf-8"?>
<x:workbook xmlns:x="http://schemas.openxmlformats.org/spreadsheetml/2006/main">
  <x:sheets>
    <x:sheet xmlns:r="http://schemas.openxmlformats.org/officeDocument/2006/relationships" name="Papers" sheetId="1" r:id="R4fff0bbbd5524283"/>
    <x:sheet xmlns:r="http://schemas.openxmlformats.org/officeDocument/2006/relationships" name="Rejected" sheetId="2" r:id="R0a35edba35584f69"/>
    <x:sheet xmlns:r="http://schemas.openxmlformats.org/officeDocument/2006/relationships" name="Venues" sheetId="3" r:id="R17e394ab109844dd"/>
    <x:sheet xmlns:r="http://schemas.openxmlformats.org/officeDocument/2006/relationships" name="Keywords" sheetId="4" r:id="Rda2a3df3953148e8"/>
    <x:sheet xmlns:r="http://schemas.openxmlformats.org/officeDocument/2006/relationships" name="Discovery" sheetId="5" r:id="R9935fa90070b4ee7"/>
    <x:sheet xmlns:r="http://schemas.openxmlformats.org/officeDocument/2006/relationships" name="CCF_A_Library" sheetId="6" r:id="Rb5e3b09fca084827"/>
    <x:sheet xmlns:r="http://schemas.openxmlformats.org/officeDocument/2006/relationships" name="Robotics_Core_Library" sheetId="7" r:id="Rffe694cc3ed0440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5">
    <x:font>
      <x:sz val="11"/>
      <x:name val="Carlito"/>
    </x:font>
    <x:font>
      <x:sz val="11"/>
      <x:name val="Arial"/>
    </x:font>
    <x:font>
      <x:b/>
      <x:sz val="11"/>
      <x:color rgb="FFFFFFFF"/>
      <x:name val="Arial"/>
    </x:font>
    <x:font>
      <x:b/>
      <x:sz val="10"/>
      <x:color rgb="FFFFFFFF"/>
      <x:name val="Arial"/>
    </x:font>
    <x:font>
      <x:sz val="10"/>
      <x:name val="Arial"/>
    </x:font>
  </x:fonts>
  <x:fills count="10">
    <x:fill>
      <x:patternFill patternType="none"/>
    </x:fill>
    <x:fill>
      <x:patternFill patternType="gray125"/>
    </x:fill>
    <x:fill>
      <x:patternFill patternType="solid">
        <x:fgColor rgb="FF203864"/>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385723"/>
      </x:patternFill>
    </x:fill>
    <x:fill>
      <x:patternFill patternType="solid">
        <x:fgColor rgb="FF1F4E78"/>
      </x:patternFill>
    </x:fill>
    <x:fill>
      <x:patternFill patternType="solid">
        <x:fgColor rgb="FF385723"/>
      </x:patternFill>
    </x:fill>
  </x:fills>
  <x:borders count="4">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6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3" xfId="0" applyNumberFormat="1" applyFont="1" applyFill="1" applyBorder="0" applyAlignment="1">
      <x:alignment vertical="center" wrapText="1"/>
    </x:xf>
    <x:xf numFmtId="0" fontId="4" fillId="0" xfId="0" applyNumberFormat="1" applyFont="1" applyFill="1" applyBorder="0" applyAlignment="1">
      <x:alignment vertical="top" wrapText="1"/>
    </x:xf>
    <x:xf numFmtId="201" fontId="4" fillId="0" xfId="0" applyNumberFormat="1" applyFont="1" applyFill="1" applyBorder="0" applyAlignment="1">
      <x:alignment vertical="top" wrapText="1"/>
    </x:xf>
    <x:xf numFmtId="200" fontId="4" fillId="0" xfId="0" applyNumberFormat="1" applyFont="1" applyFill="1" applyBorder="0"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0" fontId="3" fillId="5" borderId="1" xfId="0" applyNumberFormat="1" applyFont="1" applyFill="1" applyBorder="1" applyAlignment="1">
      <x:alignment horizontal="center" vertical="center" wrapText="1"/>
    </x:xf>
    <x:xf numFmtId="0" fontId="3" fillId="6" borderId="1"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201"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3" fillId="8" borderId="1" xfId="0" applyNumberFormat="1" applyFont="1" applyFill="1" applyBorder="1" applyAlignment="1">
      <x:alignment horizontal="center" vertic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cellXfs>
  <x:cellStyles count="1">
    <x:cellStyle name="Normal" xfId="0"/>
  </x:cellStyles>
  <x:dxfs count="1">
    <x:dxf>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a3343f33a644b9" /><Relationship Type="http://schemas.openxmlformats.org/officeDocument/2006/relationships/theme" Target="/xl/theme/theme1.xml" Id="R5eb016fd5cf04ecd" /><Relationship Type="http://schemas.openxmlformats.org/officeDocument/2006/relationships/sharedStrings" Target="/xl/sharedStrings.xml" Id="R32458323df144f5b" /><Relationship Type="http://schemas.openxmlformats.org/officeDocument/2006/relationships/worksheet" Target="/xl/worksheets/sheet1.xml" Id="R4fff0bbbd5524283" /><Relationship Type="http://schemas.openxmlformats.org/officeDocument/2006/relationships/worksheet" Target="/xl/worksheets/sheet2.xml" Id="R0a35edba35584f69" /><Relationship Type="http://schemas.openxmlformats.org/officeDocument/2006/relationships/worksheet" Target="/xl/worksheets/sheet3.xml" Id="R17e394ab109844dd" /><Relationship Type="http://schemas.openxmlformats.org/officeDocument/2006/relationships/worksheet" Target="/xl/worksheets/sheet4.xml" Id="Rda2a3df3953148e8" /><Relationship Type="http://schemas.openxmlformats.org/officeDocument/2006/relationships/worksheet" Target="/xl/worksheets/sheet5.xml" Id="R9935fa90070b4ee7" /><Relationship Type="http://schemas.openxmlformats.org/officeDocument/2006/relationships/worksheet" Target="/xl/worksheets/sheet6.xml" Id="Rb5e3b09fca084827" /><Relationship Type="http://schemas.openxmlformats.org/officeDocument/2006/relationships/worksheet" Target="/xl/worksheets/sheet7.xml" Id="Rffe694cc3ed04401" /></Relationships>
</file>

<file path=xl/tables/table1.xml><?xml version="1.0" encoding="utf-8"?>
<x:table xmlns:x="http://schemas.openxmlformats.org/spreadsheetml/2006/main" id="78" name="PapersTable" displayName="PapersTable" ref="A1:CE6" headerRowCount="1" totalsRowCount="0" totalsRowShown="0">
  <x:tableColumns count="83">
    <x:tableColumn id="1" name="编号 ID"/>
    <x:tableColumn id="2" name="论文标题 Title"/>
    <x:tableColumn id="3" name="年份 Year"/>
    <x:tableColumn id="4" name="会议 Venue"/>
    <x:tableColumn id="5" name="CCF等级"/>
    <x:tableColumn id="6" name="研究方向 Category"/>
    <x:tableColumn id="7" name="子方向 Subcategory"/>
    <x:tableColumn id="8" name="研究问题 Problem"/>
    <x:tableColumn id="9" name="现有不足 Gap"/>
    <x:tableColumn id="10" name="核心方法 Method"/>
    <x:tableColumn id="11" name="主要贡献 Contribution"/>
    <x:tableColumn id="12" name="机器人/灵巧手"/>
    <x:tableColumn id="13" name="单臂/双臂"/>
    <x:tableColumn id="14" name="是否真机"/>
    <x:tableColumn id="15" name="输入/观测 Observation"/>
    <x:tableColumn id="16" name="动作空间 Action Space"/>
    <x:tableColumn id="17" name="数据集"/>
    <x:tableColumn id="18" name="评测基准 Benchmark"/>
    <x:tableColumn id="19" name="官方论文"/>
    <x:tableColumn id="20" name="项目主页"/>
    <x:tableColumn id="21" name="代码状态"/>
    <x:tableColumn id="22" name="官方代码"/>
    <x:tableColumn id="23" name="模型权重 Checkpoint"/>
    <x:tableColumn id="24" name="数据是否公开"/>
    <x:tableColumn id="25" name="可复现性"/>
    <x:tableColumn id="26" name="阅读等级"/>
    <x:tableColumn id="27" name="与项目相关性"/>
    <x:tableColumn id="28" name="备注"/>
    <x:tableColumn id="29" name="核验日期"/>
    <x:tableColumn id="30" name="Primary Category"/>
    <x:tableColumn id="31" name="Canonical Card Path"/>
    <x:tableColumn id="32" name="Citation Count"/>
    <x:tableColumn id="33" name="Citation Source"/>
    <x:tableColumn id="34" name="Citation Checked Date"/>
    <x:tableColumn id="35" name="Research Problem"/>
    <x:tableColumn id="36" name="Previous Unsolved Problem"/>
    <x:tableColumn id="37" name="Model / Method"/>
    <x:tableColumn id="38" name="Dataset / Benchmark"/>
    <x:tableColumn id="39" name="Baseline / SOTA"/>
    <x:tableColumn id="40" name="Main Contributions"/>
    <x:tableColumn id="41" name="Experiment Setup"/>
    <x:tableColumn id="42" name="Main Results"/>
    <x:tableColumn id="43" name="Limitations"/>
    <x:tableColumn id="44" name="Remaining Unsolved Problem"/>
    <x:tableColumn id="45" name="Relevance to Our Project"/>
    <x:tableColumn id="46" name="Tags"/>
    <x:tableColumn id="47" name="Evidence Quality"/>
    <x:tableColumn id="48" name="Idea Clues"/>
    <x:tableColumn id="49" name="Ablation Study"/>
    <x:tableColumn id="50" name="Failure Cases"/>
    <x:tableColumn id="51" name="引用量来源链接"/>
    <x:tableColumn id="52" name="Evidence Sources"/>
    <x:tableColumn id="53" name="Evidence Upgrade Status"/>
    <x:tableColumn id="54" name="Supplement Status"/>
    <x:tableColumn id="55" name="Code Completeness"/>
    <x:tableColumn id="56" name="Robot Platform Evidence"/>
    <x:tableColumn id="57" name="Fulltext URL"/>
    <x:tableColumn id="58" name="Fulltext Checked"/>
    <x:tableColumn id="59" name="Experiment Extracted"/>
    <x:tableColumn id="60" name="Results Extracted"/>
    <x:tableColumn id="61" name="Ablation Extracted"/>
    <x:tableColumn id="62" name="Failure Cases Extracted"/>
    <x:tableColumn id="63" name="Limitations Extracted"/>
    <x:tableColumn id="64" name="Remaining Gap Extracted"/>
    <x:tableColumn id="65" name="Citation Status"/>
    <x:tableColumn id="66" name="DOI Status"/>
    <x:tableColumn id="67" name="arXiv Status"/>
    <x:tableColumn id="68" name="Deep Enrichment Status"/>
    <x:tableColumn id="69" name="Deep Enrichment Completed"/>
    <x:tableColumn id="70" name="Queue Status"/>
    <x:tableColumn id="71" name="Quick Summary"/>
    <x:tableColumn id="72" name="Previous Gap"/>
    <x:tableColumn id="73" name="Core Idea"/>
    <x:tableColumn id="74" name="Baseline"/>
    <x:tableColumn id="75" name="Main Result"/>
    <x:tableColumn id="76" name="Why It Matters"/>
    <x:tableColumn id="77" name="Key Limitation"/>
    <x:tableColumn id="78" name="Remaining Gap"/>
    <x:tableColumn id="79" name="Project Relevance"/>
    <x:tableColumn id="80" name="Summary Evidence"/>
    <x:tableColumn id="81" name="Citation Match Confidence"/>
    <x:tableColumn id="82" name="References In Library Count"/>
    <x:tableColumn id="83" name="Cited By In Library Count"/>
  </x:tableColumns>
  <x:tableStyleInfo name="TableStyleMedium2" showFirstColumn="0" showLastColumn="0" showRowStripes="1" showColumnStripes="0"/>
</x:table>
</file>

<file path=xl/tables/table2.xml><?xml version="1.0" encoding="utf-8"?>
<x:table xmlns:x="http://schemas.openxmlformats.org/spreadsheetml/2006/main" id="2" name="RejectedTable" displayName="RejectedTable" ref="A1:H12" headerRowCount="1" totalsRowCount="0" totalsRowShown="0">
  <x:tableColumns count="8">
    <x:tableColumn id="1" name="论文标题 Title"/>
    <x:tableColumn id="2" name="年份 Year"/>
    <x:tableColumn id="3" name="会议 Venue"/>
    <x:tableColumn id="4" name="排除原因 Reason"/>
    <x:tableColumn id="5" name="论文链接 Paper Link"/>
    <x:tableColumn id="6" name="代码链接 Code Link"/>
    <x:tableColumn id="7" name="检查日期 Checked Date"/>
    <x:tableColumn id="8" name="备注 Notes"/>
  </x:tableColumns>
  <x:tableStyleInfo name="TableStyleMedium2" showFirstColumn="0" showLastColumn="0" showRowStripes="1" showColumnStripes="0"/>
</x:table>
</file>

<file path=xl/tables/table3.xml><?xml version="1.0" encoding="utf-8"?>
<x:table xmlns:x="http://schemas.openxmlformats.org/spreadsheetml/2006/main" id="3" name="VenuesTable" displayName="VenuesTable" ref="A1:I11" headerRowCount="1" totalsRowCount="0" totalsRowShown="0">
  <x:tableColumns count="9">
    <x:tableColumn id="1" name="会议 Venue"/>
    <x:tableColumn id="2" name="会议全称 Full Name"/>
    <x:tableColumn id="3" name="CCF等级 CCF Level"/>
    <x:tableColumn id="4" name="CCF目录版本 CCF Edition"/>
    <x:tableColumn id="5" name="官方来源 Official Source"/>
    <x:tableColumn id="6" name="核验状态 Verification Status"/>
    <x:tableColumn id="7" name="访问日期 Access Date"/>
    <x:tableColumn id="8" name="核验日期 Verified Date"/>
    <x:tableColumn id="9" name="备注 Notes"/>
  </x:tableColumns>
  <x:tableStyleInfo name="TableStyleMedium2" showFirstColumn="0" showLastColumn="0" showRowStripes="1" showColumnStripes="0"/>
</x:table>
</file>

<file path=xl/tables/table4.xml><?xml version="1.0" encoding="utf-8"?>
<x:table xmlns:x="http://schemas.openxmlformats.org/spreadsheetml/2006/main" id="4" name="KeywordsTable" displayName="KeywordsTable" ref="A1:D52" headerRowCount="1" totalsRowCount="0" totalsRowShown="0">
  <x:tableColumns count="4">
    <x:tableColumn id="1" name="分类 Group"/>
    <x:tableColumn id="2" name="关键词 Keyword"/>
    <x:tableColumn id="3" name="中文解释 Chinese"/>
    <x:tableColumn id="4" name="用途 Usage"/>
  </x:tableColumns>
  <x:tableStyleInfo name="TableStyleMedium2" showFirstColumn="0" showLastColumn="0" showRowStripes="1" showColumnStripes="0"/>
</x:table>
</file>

<file path=xl/tables/table5.xml><?xml version="1.0" encoding="utf-8"?>
<x:table xmlns:x="http://schemas.openxmlformats.org/spreadsheetml/2006/main" id="79" name="DiscoveryTable" displayName="DiscoveryTable" ref="A1:BZ79" headerRowCount="1" totalsRowCount="0" totalsRowShown="0">
  <x:tableColumns count="78">
    <x:tableColumn id="1" name="编号 ID"/>
    <x:tableColumn id="2" name="论文标题 Title"/>
    <x:tableColumn id="3" name="年份 Year"/>
    <x:tableColumn id="4" name="论文类型 Type"/>
    <x:tableColumn id="5" name="Venue / Source"/>
    <x:tableColumn id="6" name="正式发表状态 Publication Status"/>
    <x:tableColumn id="7" name="CCF等级 CCF Level"/>
    <x:tableColumn id="8" name="研究方向 Category"/>
    <x:tableColumn id="9" name="子方向 Subcategory"/>
    <x:tableColumn id="10" name="关键词 Keywords"/>
    <x:tableColumn id="11" name="官方论文 Official Paper"/>
    <x:tableColumn id="12" name="arXiv"/>
    <x:tableColumn id="13" name="Project Page"/>
    <x:tableColumn id="14" name="GitHub"/>
    <x:tableColumn id="15" name="代码状态 Code Status"/>
    <x:tableColumn id="16" name="数据公开 Data Released"/>
    <x:tableColumn id="17" name="模型权重 Checkpoint"/>
    <x:tableColumn id="18" name="是否真机 Real Robot"/>
    <x:tableColumn id="19" name="单臂/双臂/灵巧手 Embodiment"/>
    <x:tableColumn id="20" name="发现来源 Discovery Source"/>
    <x:tableColumn id="21" name="优先级 Priority"/>
    <x:tableColumn id="22" name="备注 Notes"/>
    <x:tableColumn id="23" name="核验状态 Verification Status"/>
    <x:tableColumn id="24" name="核验日期 Verified Date"/>
    <x:tableColumn id="25" name="Primary Category"/>
    <x:tableColumn id="26" name="Canonical Card Path"/>
    <x:tableColumn id="27" name="Citation Count"/>
    <x:tableColumn id="28" name="Citation Source"/>
    <x:tableColumn id="29" name="Citation Checked Date"/>
    <x:tableColumn id="30" name="Research Problem"/>
    <x:tableColumn id="31" name="Previous Unsolved Problem"/>
    <x:tableColumn id="32" name="Model / Method"/>
    <x:tableColumn id="33" name="Dataset / Benchmark"/>
    <x:tableColumn id="34" name="Baseline / SOTA"/>
    <x:tableColumn id="35" name="Main Contributions"/>
    <x:tableColumn id="36" name="Experiment Setup"/>
    <x:tableColumn id="37" name="Main Results"/>
    <x:tableColumn id="38" name="Limitations"/>
    <x:tableColumn id="39" name="Remaining Unsolved Problem"/>
    <x:tableColumn id="40" name="Relevance to Our Project"/>
    <x:tableColumn id="41" name="Tags"/>
    <x:tableColumn id="42" name="Evidence Quality"/>
    <x:tableColumn id="43" name="Idea Clues"/>
    <x:tableColumn id="44" name="Ablation Study"/>
    <x:tableColumn id="45" name="Failure Cases"/>
    <x:tableColumn id="46" name="引用量来源链接"/>
    <x:tableColumn id="47" name="Evidence Sources"/>
    <x:tableColumn id="48" name="Evidence Upgrade Status"/>
    <x:tableColumn id="49" name="Supplement Status"/>
    <x:tableColumn id="50" name="Code Completeness"/>
    <x:tableColumn id="51" name="Robot Platform Evidence"/>
    <x:tableColumn id="52" name="Fulltext URL"/>
    <x:tableColumn id="53" name="Fulltext Checked"/>
    <x:tableColumn id="54" name="Experiment Extracted"/>
    <x:tableColumn id="55" name="Results Extracted"/>
    <x:tableColumn id="56" name="Ablation Extracted"/>
    <x:tableColumn id="57" name="Failure Cases Extracted"/>
    <x:tableColumn id="58" name="Limitations Extracted"/>
    <x:tableColumn id="59" name="Remaining Gap Extracted"/>
    <x:tableColumn id="60" name="Citation Status"/>
    <x:tableColumn id="61" name="DOI Status"/>
    <x:tableColumn id="62" name="arXiv Status"/>
    <x:tableColumn id="63" name="Deep Enrichment Status"/>
    <x:tableColumn id="64" name="Deep Enrichment Completed"/>
    <x:tableColumn id="65" name="Queue Status"/>
    <x:tableColumn id="66" name="Quick Summary"/>
    <x:tableColumn id="67" name="Previous Gap"/>
    <x:tableColumn id="68" name="Core Idea"/>
    <x:tableColumn id="69" name="Baseline"/>
    <x:tableColumn id="70" name="Main Result"/>
    <x:tableColumn id="71" name="Why It Matters"/>
    <x:tableColumn id="72" name="Key Limitation"/>
    <x:tableColumn id="73" name="Remaining Gap"/>
    <x:tableColumn id="74" name="Project Relevance"/>
    <x:tableColumn id="75" name="Summary Evidence"/>
    <x:tableColumn id="76" name="Citation Match Confidence"/>
    <x:tableColumn id="77" name="References In Library Count"/>
    <x:tableColumn id="78" name="Cited By In Library Count"/>
  </x:tableColumns>
  <x:tableStyleInfo name="TableStyleMedium2" showFirstColumn="0" showLastColumn="0" showRowStripes="1" showColumnStripes="0"/>
</x:table>
</file>

<file path=xl/tables/table6.xml><?xml version="1.0" encoding="utf-8"?>
<x:table xmlns:x="http://schemas.openxmlformats.org/spreadsheetml/2006/main" id="80" name="CCFALibraryTable" displayName="CCFALibraryTable" ref="A1:CS67" headerRowCount="1" totalsRowCount="0" totalsRowShown="0">
  <x:tableColumns count="97">
    <x:tableColumn id="1" name="编号 ID"/>
    <x:tableColumn id="2" name="论文标题 Title"/>
    <x:tableColumn id="3" name="作者 Authors"/>
    <x:tableColumn id="4" name="年份 Year"/>
    <x:tableColumn id="5" name="会议 Venue"/>
    <x:tableColumn id="6" name="CCF等级"/>
    <x:tableColumn id="7" name="正式发表状态 Publication Status"/>
    <x:tableColumn id="8" name="论文类型 Type"/>
    <x:tableColumn id="9" name="研究方向 Category"/>
    <x:tableColumn id="10" name="子方向 Subcategory"/>
    <x:tableColumn id="11" name="关键词 Keywords"/>
    <x:tableColumn id="12" name="官方论文 Official Paper"/>
    <x:tableColumn id="13" name="DOI"/>
    <x:tableColumn id="14" name="arXiv"/>
    <x:tableColumn id="15" name="项目主页 Project Page"/>
    <x:tableColumn id="16" name="官方代码 Official GitHub"/>
    <x:tableColumn id="17" name="代码状态 Code Status"/>
    <x:tableColumn id="18" name="Hugging Face"/>
    <x:tableColumn id="19" name="Checkpoint"/>
    <x:tableColumn id="20" name="Dataset Released"/>
    <x:tableColumn id="21" name="机器人平台 Robot Platform"/>
    <x:tableColumn id="22" name="机器人形态 Embodiment"/>
    <x:tableColumn id="23" name="单臂/双臂"/>
    <x:tableColumn id="24" name="夹爪/灵巧手"/>
    <x:tableColumn id="25" name="是否真机 Real Robot"/>
    <x:tableColumn id="26" name="Dataset"/>
    <x:tableColumn id="27" name="Benchmark"/>
    <x:tableColumn id="28" name="Simulation"/>
    <x:tableColumn id="29" name="优先级 Priority"/>
    <x:tableColumn id="30" name="核验状态 Verification Status"/>
    <x:tableColumn id="31" name="核验日期 Verified Date"/>
    <x:tableColumn id="32" name="备注 Notes"/>
    <x:tableColumn id="33" name="Venue Type"/>
    <x:tableColumn id="34" name="Publication Type"/>
    <x:tableColumn id="35" name="Special Attention"/>
    <x:tableColumn id="36" name="Canonical Card Path"/>
    <x:tableColumn id="37" name="Library Membership"/>
    <x:tableColumn id="38" name="Summary Sources"/>
    <x:tableColumn id="39" name="Reading Depth"/>
    <x:tableColumn id="40" name="Problem"/>
    <x:tableColumn id="41" name="Main Contribution"/>
    <x:tableColumn id="42" name="Key Idea"/>
    <x:tableColumn id="43" name="Experiment / Validation"/>
    <x:tableColumn id="44" name="Relevance to Our Project"/>
    <x:tableColumn id="45" name="CCF Standard Version"/>
    <x:tableColumn id="46" name="Primary Category"/>
    <x:tableColumn id="47" name="Citation Count"/>
    <x:tableColumn id="48" name="Citation Source"/>
    <x:tableColumn id="49" name="Citation Checked Date"/>
    <x:tableColumn id="50" name="Research Problem"/>
    <x:tableColumn id="51" name="Previous Unsolved Problem"/>
    <x:tableColumn id="52" name="Model / Method"/>
    <x:tableColumn id="53" name="Dataset / Benchmark"/>
    <x:tableColumn id="54" name="Baseline / SOTA"/>
    <x:tableColumn id="55" name="Main Contributions"/>
    <x:tableColumn id="56" name="Experiment Setup"/>
    <x:tableColumn id="57" name="Main Results"/>
    <x:tableColumn id="58" name="Limitations"/>
    <x:tableColumn id="59" name="Remaining Unsolved Problem"/>
    <x:tableColumn id="60" name="Tags"/>
    <x:tableColumn id="61" name="Evidence Quality"/>
    <x:tableColumn id="62" name="Idea Clues"/>
    <x:tableColumn id="63" name="Ablation Study"/>
    <x:tableColumn id="64" name="Failure Cases"/>
    <x:tableColumn id="65" name="引用量来源链接"/>
    <x:tableColumn id="66" name="Evidence Sources"/>
    <x:tableColumn id="67" name="Evidence Upgrade Status"/>
    <x:tableColumn id="68" name="Supplement Status"/>
    <x:tableColumn id="69" name="Code Completeness"/>
    <x:tableColumn id="70" name="Robot Platform Evidence"/>
    <x:tableColumn id="71" name="Fulltext URL"/>
    <x:tableColumn id="72" name="Fulltext Checked"/>
    <x:tableColumn id="73" name="Experiment Extracted"/>
    <x:tableColumn id="74" name="Results Extracted"/>
    <x:tableColumn id="75" name="Ablation Extracted"/>
    <x:tableColumn id="76" name="Failure Cases Extracted"/>
    <x:tableColumn id="77" name="Limitations Extracted"/>
    <x:tableColumn id="78" name="Remaining Gap Extracted"/>
    <x:tableColumn id="79" name="Citation Status"/>
    <x:tableColumn id="80" name="DOI Status"/>
    <x:tableColumn id="81" name="arXiv Status"/>
    <x:tableColumn id="82" name="Deep Enrichment Status"/>
    <x:tableColumn id="83" name="Deep Enrichment Completed"/>
    <x:tableColumn id="84" name="Queue Status"/>
    <x:tableColumn id="85" name="Quick Summary"/>
    <x:tableColumn id="86" name="Previous Gap"/>
    <x:tableColumn id="87" name="Core Idea"/>
    <x:tableColumn id="88" name="Baseline"/>
    <x:tableColumn id="89" name="Main Result"/>
    <x:tableColumn id="90" name="Why It Matters"/>
    <x:tableColumn id="91" name="Key Limitation"/>
    <x:tableColumn id="92" name="Remaining Gap"/>
    <x:tableColumn id="93" name="Project Relevance"/>
    <x:tableColumn id="94" name="Summary Evidence"/>
    <x:tableColumn id="95" name="Citation Match Confidence"/>
    <x:tableColumn id="96" name="References In Library Count"/>
    <x:tableColumn id="97" name="Cited By In Library Count"/>
  </x:tableColumns>
  <x:tableStyleInfo name="TableStyleMedium2" showFirstColumn="0" showLastColumn="0" showRowStripes="1" showColumnStripes="0"/>
</x:table>
</file>

<file path=xl/tables/table7.xml><?xml version="1.0" encoding="utf-8"?>
<x:table xmlns:x="http://schemas.openxmlformats.org/spreadsheetml/2006/main" id="81" name="RoboticsCoreLibraryTable" displayName="RoboticsCoreLibraryTable" ref="A1:CH15" headerRowCount="1" totalsRowCount="0" totalsRowShown="0">
  <x:tableColumns count="86">
    <x:tableColumn id="1" name="ID"/>
    <x:tableColumn id="2" name="Title"/>
    <x:tableColumn id="3" name="Authors"/>
    <x:tableColumn id="4" name="Year"/>
    <x:tableColumn id="5" name="Venue"/>
    <x:tableColumn id="6" name="Venue Type"/>
    <x:tableColumn id="7" name="Publication Type"/>
    <x:tableColumn id="8" name="CCF Level"/>
    <x:tableColumn id="9" name="Research Category"/>
    <x:tableColumn id="10" name="Subcategory"/>
    <x:tableColumn id="11" name="Tags"/>
    <x:tableColumn id="12" name="Problem"/>
    <x:tableColumn id="13" name="Main Contribution"/>
    <x:tableColumn id="14" name="Key Idea"/>
    <x:tableColumn id="15" name="Official Paper"/>
    <x:tableColumn id="16" name="Project Page"/>
    <x:tableColumn id="17" name="Official GitHub"/>
    <x:tableColumn id="18" name="Code Status"/>
    <x:tableColumn id="19" name="Checkpoint"/>
    <x:tableColumn id="20" name="Dataset"/>
    <x:tableColumn id="21" name="Robot Platform"/>
    <x:tableColumn id="22" name="Embodiment"/>
    <x:tableColumn id="23" name="Real Robot"/>
    <x:tableColumn id="24" name="Priority"/>
    <x:tableColumn id="25" name="Special Attention"/>
    <x:tableColumn id="26" name="Verification Status"/>
    <x:tableColumn id="27" name="Verified Date"/>
    <x:tableColumn id="28" name="Notes"/>
    <x:tableColumn id="29" name="Canonical Card Path"/>
    <x:tableColumn id="30" name="Library Membership"/>
    <x:tableColumn id="31" name="Summary Sources"/>
    <x:tableColumn id="32" name="Reading Depth"/>
    <x:tableColumn id="33" name="Experiment / Validation"/>
    <x:tableColumn id="34" name="Relevance to Our Project"/>
    <x:tableColumn id="35" name="CCF Standard Version"/>
    <x:tableColumn id="36" name="Primary Category"/>
    <x:tableColumn id="37" name="Citation Count"/>
    <x:tableColumn id="38" name="Citation Source"/>
    <x:tableColumn id="39" name="Citation Checked Date"/>
    <x:tableColumn id="40" name="Research Problem"/>
    <x:tableColumn id="41" name="Previous Unsolved Problem"/>
    <x:tableColumn id="42" name="Model / Method"/>
    <x:tableColumn id="43" name="Dataset / Benchmark"/>
    <x:tableColumn id="44" name="Baseline / SOTA"/>
    <x:tableColumn id="45" name="Main Contributions"/>
    <x:tableColumn id="46" name="Experiment Setup"/>
    <x:tableColumn id="47" name="Main Results"/>
    <x:tableColumn id="48" name="Limitations"/>
    <x:tableColumn id="49" name="Remaining Unsolved Problem"/>
    <x:tableColumn id="50" name="Evidence Quality"/>
    <x:tableColumn id="51" name="Idea Clues"/>
    <x:tableColumn id="52" name="Ablation Study"/>
    <x:tableColumn id="53" name="Failure Cases"/>
    <x:tableColumn id="54" name="引用量来源链接"/>
    <x:tableColumn id="55" name="Evidence Sources"/>
    <x:tableColumn id="56" name="Evidence Upgrade Status"/>
    <x:tableColumn id="57" name="Supplement Status"/>
    <x:tableColumn id="58" name="Code Completeness"/>
    <x:tableColumn id="59" name="Robot Platform Evidence"/>
    <x:tableColumn id="60" name="Fulltext URL"/>
    <x:tableColumn id="61" name="Fulltext Checked"/>
    <x:tableColumn id="62" name="Experiment Extracted"/>
    <x:tableColumn id="63" name="Results Extracted"/>
    <x:tableColumn id="64" name="Ablation Extracted"/>
    <x:tableColumn id="65" name="Failure Cases Extracted"/>
    <x:tableColumn id="66" name="Limitations Extracted"/>
    <x:tableColumn id="67" name="Remaining Gap Extracted"/>
    <x:tableColumn id="68" name="Citation Status"/>
    <x:tableColumn id="69" name="DOI Status"/>
    <x:tableColumn id="70" name="arXiv Status"/>
    <x:tableColumn id="71" name="Deep Enrichment Status"/>
    <x:tableColumn id="72" name="Deep Enrichment Completed"/>
    <x:tableColumn id="73" name="Queue Status"/>
    <x:tableColumn id="74" name="Quick Summary"/>
    <x:tableColumn id="75" name="Previous Gap"/>
    <x:tableColumn id="76" name="Core Idea"/>
    <x:tableColumn id="77" name="Baseline"/>
    <x:tableColumn id="78" name="Main Result"/>
    <x:tableColumn id="79" name="Why It Matters"/>
    <x:tableColumn id="80" name="Key Limitation"/>
    <x:tableColumn id="81" name="Remaining Gap"/>
    <x:tableColumn id="82" name="Project Relevance"/>
    <x:tableColumn id="83" name="Summary Evidence"/>
    <x:tableColumn id="84" name="Citation Match Confidence"/>
    <x:tableColumn id="85" name="References In Library Count"/>
    <x:tableColumn id="86" name="Cited By In Library Count"/>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50b431c1f83454a" /></Relationships>
</file>

<file path=xl/worksheets/_rels/sheet2.xml.rels>&#65279;<?xml version="1.0" encoding="utf-8"?><Relationships xmlns="http://schemas.openxmlformats.org/package/2006/relationships"><Relationship Type="http://schemas.openxmlformats.org/officeDocument/2006/relationships/table" Target="/xl/tables/table2.xml" Id="R75b6a4d8846b4732" /></Relationships>
</file>

<file path=xl/worksheets/_rels/sheet3.xml.rels>&#65279;<?xml version="1.0" encoding="utf-8"?><Relationships xmlns="http://schemas.openxmlformats.org/package/2006/relationships"><Relationship Type="http://schemas.openxmlformats.org/officeDocument/2006/relationships/table" Target="/xl/tables/table3.xml" Id="R632ee644304a4e73" /></Relationships>
</file>

<file path=xl/worksheets/_rels/sheet4.xml.rels>&#65279;<?xml version="1.0" encoding="utf-8"?><Relationships xmlns="http://schemas.openxmlformats.org/package/2006/relationships"><Relationship Type="http://schemas.openxmlformats.org/officeDocument/2006/relationships/table" Target="/xl/tables/table4.xml" Id="R9f371f007e7c4788" /></Relationships>
</file>

<file path=xl/worksheets/_rels/sheet5.xml.rels>&#65279;<?xml version="1.0" encoding="utf-8"?><Relationships xmlns="http://schemas.openxmlformats.org/package/2006/relationships"><Relationship Type="http://schemas.openxmlformats.org/officeDocument/2006/relationships/table" Target="/xl/tables/table5.xml" Id="R1026b7fa96694510" /></Relationships>
</file>

<file path=xl/worksheets/_rels/sheet6.xml.rels>&#65279;<?xml version="1.0" encoding="utf-8"?><Relationships xmlns="http://schemas.openxmlformats.org/package/2006/relationships"><Relationship Type="http://schemas.openxmlformats.org/officeDocument/2006/relationships/table" Target="/xl/tables/table6.xml" Id="R6736d1e682044cbf" /></Relationships>
</file>

<file path=xl/worksheets/_rels/sheet7.xml.rels>&#65279;<?xml version="1.0" encoding="utf-8"?><Relationships xmlns="http://schemas.openxmlformats.org/package/2006/relationships"><Relationship Type="http://schemas.openxmlformats.org/officeDocument/2006/relationships/table" Target="/xl/tables/table7.xml" Id="R7d883dfc0d7141c9"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48"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 min="15" max="15" width="23" hidden="0" customWidth="1"/>
    <x:col min="16" max="16" width="23" hidden="0" customWidth="1"/>
    <x:col min="17" max="17" width="23" hidden="0" customWidth="1"/>
    <x:col min="18" max="18" width="23" hidden="0" customWidth="1"/>
    <x:col min="19" max="19" width="23" hidden="0" customWidth="1"/>
    <x:col min="20" max="20" width="23" hidden="0" customWidth="1"/>
    <x:col min="21" max="21" width="23" hidden="0" customWidth="1"/>
    <x:col min="22" max="22" width="23" hidden="0" customWidth="1"/>
    <x:col min="23" max="23" width="23" hidden="0" customWidth="1"/>
    <x:col min="24" max="24" width="23" hidden="0" customWidth="1"/>
    <x:col min="25" max="25" width="23" hidden="0" customWidth="1"/>
    <x:col min="26" max="26" width="23" hidden="0" customWidth="1"/>
    <x:col min="27" max="27" width="23" hidden="0" customWidth="1"/>
    <x:col min="28" max="28" width="100" hidden="0" customWidth="1"/>
    <x:col min="29" max="29" width="23" hidden="0" customWidth="1"/>
    <x:col min="30" max="30" width="25" hidden="0" customWidth="1"/>
    <x:col min="31" max="31" width="48" hidden="0" customWidth="1"/>
  </x:cols>
  <x:sheetData>
    <x:row r="1" ht="42" customHeight="1">
      <x:c r="A1" t="str">
        <x:v>编号 ID</x:v>
      </x:c>
      <x:c r="B1" t="str">
        <x:v>论文标题 Title</x:v>
      </x:c>
      <x:c r="C1" t="str">
        <x:v>年份 Year</x:v>
      </x:c>
      <x:c r="D1" t="str">
        <x:v>会议 Venue</x:v>
      </x:c>
      <x:c r="E1" t="str">
        <x:v>CCF等级</x:v>
      </x:c>
      <x:c r="F1" t="str">
        <x:v>研究方向 Category</x:v>
      </x:c>
      <x:c r="G1" t="str">
        <x:v>子方向 Subcategory</x:v>
      </x:c>
      <x:c r="H1" t="str">
        <x:v>研究问题 Problem</x:v>
      </x:c>
      <x:c r="I1" t="str">
        <x:v>现有不足 Gap</x:v>
      </x:c>
      <x:c r="J1" t="str">
        <x:v>核心方法 Method</x:v>
      </x:c>
      <x:c r="K1" t="str">
        <x:v>主要贡献 Contribution</x:v>
      </x:c>
      <x:c r="L1" t="str">
        <x:v>机器人/灵巧手</x:v>
      </x:c>
      <x:c r="M1" t="str">
        <x:v>单臂/双臂</x:v>
      </x:c>
      <x:c r="N1" t="str">
        <x:v>是否真机</x:v>
      </x:c>
      <x:c r="O1" t="str">
        <x:v>输入/观测 Observation</x:v>
      </x:c>
      <x:c r="P1" t="str">
        <x:v>动作空间 Action Space</x:v>
      </x:c>
      <x:c r="Q1" t="str">
        <x:v>数据集</x:v>
      </x:c>
      <x:c r="R1" t="str">
        <x:v>评测基准 Benchmark</x:v>
      </x:c>
      <x:c r="S1" t="str">
        <x:v>官方论文</x:v>
      </x:c>
      <x:c r="T1" t="str">
        <x:v>项目主页</x:v>
      </x:c>
      <x:c r="U1" t="str">
        <x:v>代码状态</x:v>
      </x:c>
      <x:c r="V1" t="str">
        <x:v>官方代码</x:v>
      </x:c>
      <x:c r="W1" t="str">
        <x:v>模型权重 Checkpoint</x:v>
      </x:c>
      <x:c r="X1" t="str">
        <x:v>数据是否公开</x:v>
      </x:c>
      <x:c r="Y1" t="str">
        <x:v>可复现性</x:v>
      </x:c>
      <x:c r="Z1" t="str">
        <x:v>阅读等级</x:v>
      </x:c>
      <x:c r="AA1" t="str">
        <x:v>与项目相关性</x:v>
      </x:c>
      <x:c r="AB1" t="str">
        <x:v>备注</x:v>
      </x:c>
      <x:c r="AC1" t="str">
        <x:v>核验日期</x:v>
      </x:c>
      <x:c r="AD1" t="str">
        <x:v>Primary Category</x:v>
      </x:c>
      <x:c r="AE1" t="str">
        <x:v>Canonical Card Path</x:v>
      </x:c>
      <x:c r="AF1" t="str">
        <x:v>Citation Count</x:v>
      </x:c>
      <x:c r="AG1" t="str">
        <x:v>Citation Source</x:v>
      </x:c>
      <x:c r="AH1" t="str">
        <x:v>Citation Checked Date</x:v>
      </x:c>
      <x:c r="AI1" t="str">
        <x:v>Research Problem</x:v>
      </x:c>
      <x:c r="AJ1" t="str">
        <x:v>Previous Unsolved Problem</x:v>
      </x:c>
      <x:c r="AK1" t="str">
        <x:v>Model / Method</x:v>
      </x:c>
      <x:c r="AL1" t="str">
        <x:v>Dataset / Benchmark</x:v>
      </x:c>
      <x:c r="AM1" t="str">
        <x:v>Baseline / SOTA</x:v>
      </x:c>
      <x:c r="AN1" t="str">
        <x:v>Main Contributions</x:v>
      </x:c>
      <x:c r="AO1" t="str">
        <x:v>Experiment Setup</x:v>
      </x:c>
      <x:c r="AP1" t="str">
        <x:v>Main Results</x:v>
      </x:c>
      <x:c r="AQ1" t="str">
        <x:v>Limitations</x:v>
      </x:c>
      <x:c r="AR1" t="str">
        <x:v>Remaining Unsolved Problem</x:v>
      </x:c>
      <x:c r="AS1" t="str">
        <x:v>Relevance to Our Project</x:v>
      </x:c>
      <x:c r="AT1" t="str">
        <x:v>Tags</x:v>
      </x:c>
      <x:c r="AU1" t="str">
        <x:v>Evidence Quality</x:v>
      </x:c>
      <x:c r="AV1" t="str">
        <x:v>Idea Clues</x:v>
      </x:c>
      <x:c r="AW1" t="str">
        <x:v>Ablation Study</x:v>
      </x:c>
      <x:c r="AX1" t="str">
        <x:v>Failure Cases</x:v>
      </x:c>
      <x:c r="AY1" t="str">
        <x:v>引用量来源链接</x:v>
      </x:c>
      <x:c r="AZ1" t="str">
        <x:v>Evidence Sources</x:v>
      </x:c>
      <x:c r="BA1" t="str">
        <x:v>Evidence Upgrade Status</x:v>
      </x:c>
      <x:c r="BB1" t="str">
        <x:v>Supplement Status</x:v>
      </x:c>
      <x:c r="BC1" t="str">
        <x:v>Code Completeness</x:v>
      </x:c>
      <x:c r="BD1" t="str">
        <x:v>Robot Platform Evidence</x:v>
      </x:c>
      <x:c r="BE1" t="str">
        <x:v>Fulltext URL</x:v>
      </x:c>
      <x:c r="BF1" t="str">
        <x:v>Fulltext Checked</x:v>
      </x:c>
      <x:c r="BG1" t="str">
        <x:v>Experiment Extracted</x:v>
      </x:c>
      <x:c r="BH1" t="str">
        <x:v>Results Extracted</x:v>
      </x:c>
      <x:c r="BI1" t="str">
        <x:v>Ablation Extracted</x:v>
      </x:c>
      <x:c r="BJ1" t="str">
        <x:v>Failure Cases Extracted</x:v>
      </x:c>
      <x:c r="BK1" t="str">
        <x:v>Limitations Extracted</x:v>
      </x:c>
      <x:c r="BL1" t="str">
        <x:v>Remaining Gap Extracted</x:v>
      </x:c>
      <x:c r="BM1" t="str">
        <x:v>Citation Status</x:v>
      </x:c>
      <x:c r="BN1" t="str">
        <x:v>DOI Status</x:v>
      </x:c>
      <x:c r="BO1" t="str">
        <x:v>arXiv Status</x:v>
      </x:c>
      <x:c r="BP1" t="str">
        <x:v>Deep Enrichment Status</x:v>
      </x:c>
      <x:c r="BQ1" t="str">
        <x:v>Deep Enrichment Completed</x:v>
      </x:c>
      <x:c r="BR1" t="str">
        <x:v>Queue Status</x:v>
      </x:c>
      <x:c r="BS1" t="str">
        <x:v>Quick Summary</x:v>
      </x:c>
      <x:c r="BT1" t="str">
        <x:v>Previous Gap</x:v>
      </x:c>
      <x:c r="BU1" t="str">
        <x:v>Core Idea</x:v>
      </x:c>
      <x:c r="BV1" t="str">
        <x:v>Baseline</x:v>
      </x:c>
      <x:c r="BW1" t="str">
        <x:v>Main Result</x:v>
      </x:c>
      <x:c r="BX1" t="str">
        <x:v>Why It Matters</x:v>
      </x:c>
      <x:c r="BY1" t="str">
        <x:v>Key Limitation</x:v>
      </x:c>
      <x:c r="BZ1" t="str">
        <x:v>Remaining Gap</x:v>
      </x:c>
      <x:c r="CA1" t="str">
        <x:v>Project Relevance</x:v>
      </x:c>
      <x:c r="CB1" t="str">
        <x:v>Summary Evidence</x:v>
      </x:c>
      <x:c r="CC1" t="str">
        <x:v>Citation Match Confidence</x:v>
      </x:c>
      <x:c r="CD1" t="str">
        <x:v>References In Library Count</x:v>
      </x:c>
      <x:c r="CE1" t="str">
        <x:v>Cited By In Library Count</x:v>
      </x:c>
    </x:row>
    <x:row r="2" ht="350" customHeight="1">
      <x:c r="A2" t="str">
        <x:v>P0001</x:v>
      </x:c>
      <x:c r="B2" t="str">
        <x:v>ManipLLM: Embodied Multimodal Large Language Model for Object-Centric Robotic Manipulation</x:v>
      </x:c>
      <x:c r="C2" t="n">
        <x:v>2024</x:v>
      </x:c>
      <x:c r="D2" t="str">
        <x:v>CVPR</x:v>
      </x:c>
      <x:c r="E2" t="str">
        <x:v>A</x:v>
      </x:c>
      <x:c r="F2" t="str">
        <x:v>Robot Manipulation</x:v>
      </x:c>
      <x:c r="G2" t="str">
        <x:v>Multimodal / Generalization</x:v>
      </x:c>
      <x:c r="H2" t="str">
        <x:v>从RGB和文本预测关节物体的有效初始接触点与末端朝向，再通过闭环控制让部件运动；主要为拉动、开门/抽屉、抬盖等。[正文§1、§4.1]</x:v>
      </x:c>
      <x:c r="I2" t="str">
        <x:v>有限仿真类别限制泛化；预训练MLLM缺少低层动作轨迹先验。作者利用其物体知识，补足可供性定位与接触位姿预测。[正文§1、§3.1]</x:v>
      </x:c>
      <x:c r="J2" t="str">
        <x:v>LLaMA-Adapter冻结主干，训练视觉/语言适配器及投影；联合APR、MLM和位姿FT，OCI不更新参数；论文CoT生成初始位姿，深度转三维，AIA闭环执行；真机TTA更新V-Adapter。[§3]</x:v>
      </x:c>
      <x:c r="K2" t="str">
        <x:v>将MLLM物体知识连接到接触位姿；设计可供性及数值补全监督；结合AIA闭环与真机TTA。跨20训练/10测试类别及真机验证。[§3、Table 1–3；阅读归纳]</x:v>
      </x:c>
      <x:c r="L2" t="str">
        <x:v>仿真：Franka Panda / flying suction gripper，SAPIEN；真机：Franka Emika＋cobot pump吸盘＋RealSense 415。非灵巧手，非普通夹爪。[§4.1、§4.4]</x:v>
      </x:c>
      <x:c r="M2" t="str">
        <x:v>单臂/单末端；无双臂协作实验。[§4.1、§4.4]</x:v>
      </x:c>
      <x:c r="N2" t="str">
        <x:v>是。Table 3为7个图示类别、每类5次；合计28/35=80%为本次据表计算，非原文直接报告的均值。</x:v>
      </x:c>
      <x:c r="O2" t="str">
        <x:v>MLLM：RGB＋文本；系统：深度用于像素转三维，执行位移/方向反馈用于AIA。未说明完整机器人状态或点云直接输入MLLM。[Fig.1–2、§3]</x:v>
      </x:c>
      <x:c r="P2" t="str">
        <x:v>文本形式的二维接触像素＋末端up/forward两个3D方向；结合深度构造初始位姿，AIA产生后续路径点。非直接输出完整关节动作序列。[§3.1–3.2]</x:v>
      </x:c>
      <x:c r="Q2" t="str">
        <x:v>SAPIEN＋PartNet-Mobility自动仿真采样；约10,000成功样本、20训练类别。不是人类遥操作轨迹；主干依赖预训练知识。[§4.1]</x:v>
      </x:c>
      <x:c r="R2" t="str">
        <x:v>SAPIEN/PartNet-Mobility：20训练＋10测试类别。初始/较长距离运动阈值0.01/0.1（不能直接当米）；真机家居物体。非LIBERO/robosuite。[§4.1、Table 1–3]</x:v>
      </x:c>
      <x:c r="S2" t="str">
        <x:v>https://openaccess.thecvf.com/content/CVPR2024/html/Li_ManipLLM_Embodied_Multimodal_Large_Language_Model_for_Object-Centric_Robotic_Manipulation_CVPR_2024_paper.html</x:v>
      </x:c>
      <x:c r="T2" t="str">
        <x:v>https://sites.google.com/view/manipllm</x:v>
      </x:c>
      <x:c r="U2" t="str">
        <x:v>Partial</x:v>
      </x:c>
      <x:c r="V2" t="str">
        <x:v>https://github.com/clorislili/ManipLLM</x:v>
      </x:c>
      <x:c r="W2" t="str">
        <x:v>作者README提供checkpoint-9-ori.pth：https://pan.baidu.com/s/1kh_LO7W7TnnrpPzI4khw0Q?pwd=cipc；未下载/验证可用性，另需基础模型权重。</x:v>
      </x:c>
      <x:c r="X2" t="str">
        <x:v>部分：README提供测试数据入口及采集脚本；公开测试集与论文不同。完整原始训练/测试集合发布情况未确认，未下载。</x:v>
      </x:c>
      <x:c r="Y2" t="str">
        <x:v>仅静态核查，未安装/运行。公开推理省略论文CoT；数据划分不同；完整真机TTA和控制接口对应关系待查，不承诺严格复现。</x:v>
      </x:c>
      <x:c r="Z2" t="str">
        <x:v>L1</x:v>
      </x:c>
      <x:c r="AA2" t="str">
        <x:v>【阅读分析】机器人操作/泛化：高；VLA/真机/数据采集：中；双臂/灵巧手：低。可借鉴接触先验，不是可直接迁移的普通夹爪端到端策略。</x:v>
      </x:c>
      <x:c r="AB2" t="str">
        <x:v>2026-09-18首轮阅读更新：正文与补充PDF已保存；已填写03_Reading_Notes/ManipLLM.md，数字有章节/图表定位。L1保持；CCF核验状态不变。推理延迟、完整控制参数、真机Distance统计口径和部分实例规模未明确；权重/数据未下载，代码未运行。以下保留原入库历史，旧“待阅读”状态已由本次笔记更新：
L1 候选，非已完成审核的核心条目。2026-09-18 已核对 CVF 正式会议条目；CCF A 为用户提供、官网复核待完成。公开训练与测试代码存在；README 说明推理不包含 chain-of-thought，且公开测试数据与论文不同。因此按发布覆盖范围记 Partial，未确认本地可运行。 仅静态核查。论文内容、实验、权重/数据可用性、复现性均待人工核验，相关字段留空；Verified_Date 待全项确认。commit 184adfa7e245acf45a65f6a2a331ac36d85b4b78。</x:v>
      </x:c>
      <x:c r="AC2"/>
      <x:c r="AD2" t="str">
        <x:v>Robot Manipulation</x:v>
      </x:c>
      <x:c r="AE2" t="str">
        <x:v>02_Papers/02_Robot_Manipulation/ManipLLM.md</x:v>
      </x:c>
      <x:c r="AF2" t="n">
        <x:v>82</x:v>
      </x:c>
      <x:c r="AG2" t="str">
        <x:v>OpenAlex</x:v>
      </x:c>
      <x:c r="AH2" t="str">
        <x:v>2026-09-25</x:v>
      </x:c>
      <x:c r="AI2" t="str">
        <x:v>多模态大模型能理解图像和语言，但不一定能给出可执行的接触点与夹爪姿态。</x:v>
      </x:c>
      <x:c r="AJ2" t="str">
        <x:v>Unknown / Needs Full-Paper Verification</x:v>
      </x:c>
      <x:c r="AK2" t="str">
        <x:v>以 `Multimodal / Generali</x:v>
      </x:c>
      <x:c r="AL2" t="str">
        <x:v>论文中的物体操作任务与消融设置；具体数据集名称见原卡实验部分。</x:v>
      </x:c>
      <x:c r="AM2" t="str">
        <x:v>Unknown / Needs Full-Paper Verification</x:v>
      </x:c>
      <x:c r="AN2" t="str">
        <x:v>- Therefore we introduce an innovative approach for robot manipulation that leverages the robust reasoning capabilities of Multimodal Large Language Models (MLLMs) to enhance the stability and generali</x:v>
      </x:c>
      <x:c r="AO2" t="str">
        <x:v>Real Robot 字段为 `Yes`；Dataset、Benchmark、Robot Platform 中的 Unknown 继续保留，不从题名推断。</x:v>
      </x:c>
      <x:c r="AP2" t="str">
        <x:v>Unknown / Needs Full-Paper Verification</x:v>
      </x:c>
      <x:c r="AQ2" t="str">
        <x:v>Unknown / Needs Full-Paper Verification</x:v>
      </x:c>
      <x:c r="AR2" t="str">
        <x:v>Library Analysis / Research Note: Unknown / Needs Full-Paper Verification</x:v>
      </x:c>
      <x:c r="AS2" t="str">
        <x:v>** 与机器人操作、模仿学习或策略泛化相关；是否进入 L2/L3 取决于与双臂普通夹爪平台的可迁移性。</x:v>
      </x:c>
      <x:c r="AT2" t="str">
        <x:v>Multimodal / Generalization</x:v>
      </x:c>
      <x:c r="AU2" t="str">
        <x:v>A</x:v>
      </x:c>
      <x:c r="AV2" t="str">
        <x:v>Idea Clue 1: adapt affordance-prior reasoning and active impedance correction to ordinary-gripper bimanual contact tasks. Evidence: APR and AIA ablation gains plus explicit hardware failure cases. Why relevant: actionable path for current real-robot manipulation.</x:v>
      </x:c>
      <x:c r="AW2" t="str">
        <x:v>Reported ablations isolate OCI, MLM, APR, COT and AIA; APR is the largest training-task gain in the cited ablation sequence.</x:v>
      </x:c>
      <x:c r="AX2" t="str">
        <x:v>Position predictions are sensitive to lighting and texture domain gaps; suction cannot grasp non-smooth handles and short gripper geometry can cause collisions.</x:v>
      </x:c>
      <x:c r="AY2" t="str">
        <x:v>https://openalex.org/W4402727730</x:v>
      </x:c>
      <x:c r="AZ2" t="str">
        <x:v>https://openaccess.thecvf.com/content/CVPR2024/html/Li_ManipLLM_Embodied_Multimodal_Large_Language_Model_for_Object-Centric_Robotic_Manipulation_CVPR_2024_paper.html；官方摘要/论文集元数据</x:v>
      </x:c>
      <x:c r="BA2" t="str">
        <x:v>A-Upgraded</x:v>
      </x:c>
      <x:c r="BB2" t="str">
        <x:v>Available - Verified</x:v>
      </x:c>
      <x:c r="BC2" t="str">
        <x:v>Partial</x:v>
      </x:c>
      <x:c r="BD2" t="str">
        <x:v>Unknown</x:v>
      </x:c>
      <x:c r="BE2" t="str">
        <x:v>https://openaccess.thecvf.com/content/CVPR2024/papers/Li_ManipLLM_Embodied_Multimodal_Large_Language_Model_for_Object-Centric_Robotic_Manipulation_CVPR_2024_paper.pdf</x:v>
      </x:c>
      <x:c r="BF2" t="str">
        <x:v>No</x:v>
      </x:c>
      <x:c r="BG2" t="str">
        <x:v>No</x:v>
      </x:c>
      <x:c r="BH2" t="str">
        <x:v>No</x:v>
      </x:c>
      <x:c r="BI2" t="str">
        <x:v>No</x:v>
      </x:c>
      <x:c r="BJ2" t="str">
        <x:v>No</x:v>
      </x:c>
      <x:c r="BK2" t="str">
        <x:v>No</x:v>
      </x:c>
      <x:c r="BL2" t="str">
        <x:v>No</x:v>
      </x:c>
      <x:c r="BM2" t="str">
        <x:v>Matched</x:v>
      </x:c>
      <x:c r="BN2" t="str">
        <x:v>Not Found After Verification</x:v>
      </x:c>
      <x:c r="BO2" t="str">
        <x:v>Not Found After Verification</x:v>
      </x:c>
      <x:c r="BP2" t="str">
        <x:v>Audit logged - deep extraction pending</x:v>
      </x:c>
      <x:c r="BQ2" t="str">
        <x:v>false</x:v>
      </x:c>
      <x:c r="BR2"/>
      <x:c r="BS2" t="str">
        <x:v>研究问题：多模态大模型能理解图像和语言，但不一定能给出可执行的接触点与夹爪姿态。；之前方法的问题：物体级 Grounding 与精确接触几何没有自然地从语言推理转成机器人动作。；核心思路：ManipLLM 结合物体类别识别、affordance 推理和位姿微调，预测接触点与夹爪朝向，并通过分步推理和主动交互改进执行。；输入：物体视觉信息与操作指令；具体相机和状态接口见论文方法。；输出与动作：接触点、夹爪朝向及后续操作位姿。；数据集与评测基准：论文中的物体操作任务与消融设置；具体数据集名称见原卡实验部分。；为什么重要：让语言推理落到普通夹爪可执行的接触几何上。；与当前项目的关系：High：直接对应夹爪接触点、动作前可行性验证和真机操作。；主要局限：作者指出视觉位置预测仍受域变化影响；特定吸盘硬件约束需要测试时适配。</x:v>
      </x:c>
      <x:c r="BT2" t="str">
        <x:v>物体级 Grounding 与精确接触几何没有自然地从语言推理转成机器人动作。</x:v>
      </x:c>
      <x:c r="BU2" t="str">
        <x:v>ManipLLM 结合物体类别识别、affordance 推理和位姿微调，预测接触点与夹爪朝向，并通过分步推理和主动交互改进执行。</x:v>
      </x:c>
      <x:c r="BV2" t="str">
        <x:v>Ablations compare FT, OCI, MLM, APR, COT and AIA components; the paper also compares manipulation performance against prior object-centric methods.</x:v>
      </x:c>
      <x:c r="BW2" t="str">
        <x:v>卡片记录消融平均指标从仅 FT 的 0.41 提升到完整方法的 0.59；各模块贡献见原卡 Main Results。</x:v>
      </x:c>
      <x:c r="BX2" t="str">
        <x:v>让语言推理落到普通夹爪可执行的接触几何上。</x:v>
      </x:c>
      <x:c r="BY2" t="str">
        <x:v>作者指出视觉位置预测仍受域变化影响；特定吸盘硬件约束需要测试时适配。</x:v>
      </x:c>
      <x:c r="BZ2" t="str">
        <x:v>Library Analysis: broader gripper geometries, bimanual coordination and long-horizon recovery are outside the demonstrated setup.</x:v>
      </x:c>
      <x:c r="CA2" t="str">
        <x:v>High：直接对应夹爪接触点、动作前可行性验证和真机操作。</x:v>
      </x:c>
      <x:c r="CB2" t="str">
        <x:v>官方摘要/论文页; https://arxiv.org/html/2312.16217; 核验于 2026-09-23. 仅为摘要级速读；原 Evidence Quality 不变。 - 核验层级：摘要有可追溯来源</x:v>
      </x:c>
      <x:c r="CC2" t="str">
        <x:v>title</x:v>
      </x:c>
      <x:c r="CD2" t="n">
        <x:v>0</x:v>
      </x:c>
      <x:c r="CE2" t="n">
        <x:v>6</x:v>
      </x:c>
    </x:row>
    <x:row r="3" ht="150" customHeight="1">
      <x:c r="A3" t="str">
        <x:v>P0002</x:v>
      </x:c>
      <x:c r="B3" t="str">
        <x:v>ManipTrans: Efficient Dexterous Bimanual Manipulation Transfer via Residual Learning</x:v>
      </x:c>
      <x:c r="C3" t="n">
        <x:v>2025</x:v>
      </x:c>
      <x:c r="D3" t="str">
        <x:v>CVPR</x:v>
      </x:c>
      <x:c r="E3" t="str">
        <x:v>A</x:v>
      </x:c>
      <x:c r="F3" t="str">
        <x:v>Dexterous Hand</x:v>
      </x:c>
      <x:c r="G3" t="str">
        <x:v>Bimanual Manipulation</x:v>
      </x:c>
      <x:c r="H3"/>
      <x:c r="I3"/>
      <x:c r="J3"/>
      <x:c r="K3"/>
      <x:c r="L3"/>
      <x:c r="M3"/>
      <x:c r="N3"/>
      <x:c r="O3"/>
      <x:c r="P3"/>
      <x:c r="Q3"/>
      <x:c r="R3"/>
      <x:c r="S3" t="str">
        <x:v>https://openaccess.thecvf.com/content/CVPR2025/html/Li_ManipTrans_Efficient_Dexterous_Bimanual_Manipulation_Transfer_via_Residual_Learning_CVPR_2025_paper.html</x:v>
      </x:c>
      <x:c r="T3" t="str">
        <x:v>https://maniptrans.github.io/</x:v>
      </x:c>
      <x:c r="U3" t="str">
        <x:v>Released</x:v>
      </x:c>
      <x:c r="V3" t="str">
        <x:v>https://github.com/ManipTrans/ManipTrans</x:v>
      </x:c>
      <x:c r="W3"/>
      <x:c r="X3"/>
      <x:c r="Y3"/>
      <x:c r="Z3" t="str">
        <x:v>L1</x:v>
      </x:c>
      <x:c r="AA3"/>
      <x:c r="AB3" t="str">
        <x:v>L1 候选，非已完成审核的核心条目。2026-09-18 已核对 CVF 正式会议条目；CCF A 为用户提供、官网复核待完成。已检查 main/rl/train.py 和残差策略源码，训练/测试入口公开。Released 仅指实质代码发布；README 说明部分手型 URDF 受许可限制，不等于全部资产可用或复现完成。 仅静态核查。论文内容、实验、权重/数据可用性、复现性均待人工核验，相关字段留空；Verified_Date 待全项确认。commit a3d08cfe3c3a5868a7f057533bcaf759c5af4705。</x:v>
      </x:c>
      <x:c r="AC3"/>
      <x:c r="AD3" t="str">
        <x:v>Bimanual</x:v>
      </x:c>
      <x:c r="AE3" t="str">
        <x:v>02_Papers/03_Bimanual/ManipTrans.md</x:v>
      </x:c>
      <x:c r="AF3" t="n">
        <x:v>13</x:v>
      </x:c>
      <x:c r="AG3" t="str">
        <x:v>OpenAlex</x:v>
      </x:c>
      <x:c r="AH3" t="str">
        <x:v>2026-09-25</x:v>
      </x:c>
      <x:c r="AI3" t="str">
        <x:v>人类双手操作能力丰富，但难以直接迁移到机器人灵巧手。</x:v>
      </x:c>
      <x:c r="AJ3" t="str">
        <x:v>Unknown / Needs Full-Paper Verification</x:v>
      </x:c>
      <x:c r="AK3" t="str">
        <x:v>以 `Residual Learning / Sim-to-Real` 为主要方法/能力线索；更细的结构和消融结论待正文核验。</x:v>
      </x:c>
      <x:c r="AL3" t="str">
        <x:v>双手灵巧操作仿真任务；详细任务和基线见论文。</x:v>
      </x:c>
      <x:c r="AM3" t="str">
        <x:v>Unknown / Needs Full-Paper Verification</x:v>
      </x:c>
      <x:c r="AN3" t="str">
        <x:v>- To address this, we introduce ManipTrans, a novel two-stage method for efficiently transferring human bimanual skills to dexterous robotic hands in simulation.</x:v>
      </x:c>
      <x:c r="AO3" t="str">
        <x:v>Real Robot 字段为 `Unknown`；Dataset、Benchmark、Robot Platform 中的 Unknown 继续保留，不从题名推断。</x:v>
      </x:c>
      <x:c r="AP3" t="str">
        <x:v>作者报告成功率、动作保真度与训练效率优于所比较方法；摘要未给统一数字。</x:v>
      </x:c>
      <x:c r="AQ3" t="str">
        <x:v>Unknown / Needs Full-Paper Verification</x:v>
      </x:c>
      <x:c r="AR3" t="str">
        <x:v>Library Analysis / Research Note: Unknown / Needs Full-Paper Verification</x:v>
      </x:c>
      <x:c r="AS3" t="str">
        <x:v>** 与 NERO 双臂、普通夹爪、示范采集和双臂策略学习直接相关，优先评估动作表示与协同控制是否可迁移。</x:v>
      </x:c>
      <x:c r="AT3" t="str">
        <x:v>Residual Learning / Sim-to-Real</x:v>
      </x:c>
      <x:c r="AU3" t="str">
        <x:v>B</x:v>
      </x:c>
      <x:c r="AV3" t="str"/>
      <x:c r="AW3" t="str">
        <x:v>Unknown / Not Explicitly Reported in the currently accessible sources.</x:v>
      </x:c>
      <x:c r="AX3" t="str">
        <x:v>Unknown / Not Explicitly Reported in the currently accessible sources.</x:v>
      </x:c>
      <x:c r="AY3" t="str">
        <x:v>https://openalex.org/W4413145126</x:v>
      </x:c>
      <x:c r="AZ3" t="str">
        <x:v>https://openaccess.thecvf.com/content/CVPR2025/html/Li_ManipTrans_Efficient_Dexterous_Bimanual_Manipulation_Transfer_via_Residual_Learning_CVPR_2025_paper.html；官方摘要/论文集元数据</x:v>
      </x:c>
      <x:c r="BA3" t="str">
        <x:v>B-Fulltext-Unavailable</x:v>
      </x:c>
      <x:c r="BB3" t="str">
        <x:v>Not Found</x:v>
      </x:c>
      <x:c r="BC3" t="str">
        <x:v>Mostly Complete</x:v>
      </x:c>
      <x:c r="BD3" t="str">
        <x:v>Unknown</x:v>
      </x:c>
      <x:c r="BE3" t="str">
        <x:v>https://openaccess.thecvf.com/content/CVPR2025/papers/Li_ManipTrans_Efficient_Dexterous_Bimanual_Manipulation_Transfer_via_Residual_Learning_CVPR_2025_paper.pdf</x:v>
      </x:c>
      <x:c r="BF3" t="str">
        <x:v>No</x:v>
      </x:c>
      <x:c r="BG3" t="str">
        <x:v>No</x:v>
      </x:c>
      <x:c r="BH3" t="str">
        <x:v>No</x:v>
      </x:c>
      <x:c r="BI3" t="str">
        <x:v>No</x:v>
      </x:c>
      <x:c r="BJ3" t="str">
        <x:v>No</x:v>
      </x:c>
      <x:c r="BK3" t="str">
        <x:v>No</x:v>
      </x:c>
      <x:c r="BL3" t="str">
        <x:v>No</x:v>
      </x:c>
      <x:c r="BM3" t="str">
        <x:v>Matched</x:v>
      </x:c>
      <x:c r="BN3" t="str">
        <x:v>Not Found After Verification</x:v>
      </x:c>
      <x:c r="BO3" t="str">
        <x:v>Not Found After Verification</x:v>
      </x:c>
      <x:c r="BP3" t="str">
        <x:v>Audit logged - deep extraction pending</x:v>
      </x:c>
      <x:c r="BQ3" t="str">
        <x:v>false</x:v>
      </x:c>
      <x:c r="BR3"/>
      <x:c r="BS3" t="str">
        <x:v>研究问题：人类双手操作能力丰富，但难以直接迁移到机器人灵巧手。；之前方法的问题：人手和机器人手的运动学、接触方式不同，逐帧模仿不能保证可执行。；核心思路：ManipTrans 用两阶段流程，在仿真中把人类双手技能迁移到机器人灵巧手策略。；数据集与评测基准：双手灵巧操作仿真任务；详细任务和基线见论文。；主要结果：作者报告成功率、动作保真度与训练效率优于所比较方法；摘要未给统一数字。；为什么重要：展示 Human Video / Human Motion 到机器人双手动作的转换思路。；与当前项目的关系：Medium：手型不同，普通夹爪适配仍需单独建模。；主要局限：仿真到真机与普通夹爪迁移尚不能从摘要确认。</x:v>
      </x:c>
      <x:c r="BT3" t="str">
        <x:v>人手和机器人手的运动学、接触方式不同，逐帧模仿不能保证可执行。</x:v>
      </x:c>
      <x:c r="BU3" t="str">
        <x:v>ManipTrans 用两阶段流程，在仿真中把人类双手技能迁移到机器人灵巧手策略。</x:v>
      </x:c>
      <x:c r="BV3" t="str"/>
      <x:c r="BW3" t="str">
        <x:v>作者报告成功率、动作保真度与训练效率优于所比较方法；摘要未给统一数字。</x:v>
      </x:c>
      <x:c r="BX3" t="str">
        <x:v>展示 Human Video / Human Motion 到机器人双手动作的转换思路。</x:v>
      </x:c>
      <x:c r="BY3" t="str">
        <x:v>仿真到真机与普通夹爪迁移尚不能从摘要确认。</x:v>
      </x:c>
      <x:c r="BZ3" t="str"/>
      <x:c r="CA3" t="str">
        <x:v>Medium：手型不同，普通夹爪适配仍需单独建模。</x:v>
      </x:c>
      <x:c r="CB3" t="str">
        <x:v>官方摘要/论文页; https://openaccess.thecvf.com/content/CVPR2025/html/Li_ManipTrans_Efficient_Dexterous_Bimanual_Manipulation_Transfer_via_Residual_Learning_CVPR_2025_paper.html; 核验于 2026-09-23. 仅为摘要级速读；原 Evidence Quality 不变。 - 核验层级：摘要有可追溯来源</x:v>
      </x:c>
      <x:c r="CC3" t="str">
        <x:v>title</x:v>
      </x:c>
      <x:c r="CD3" t="n">
        <x:v>0</x:v>
      </x:c>
      <x:c r="CE3" t="n">
        <x:v>0</x:v>
      </x:c>
    </x:row>
    <x:row r="4" ht="150" customHeight="1">
      <x:c r="A4" t="str">
        <x:v>P0003</x:v>
      </x:c>
      <x:c r="B4" t="str">
        <x:v>DexHandDiff: Interaction-aware Diffusion Planning for Adaptive Dexterous Manipulation</x:v>
      </x:c>
      <x:c r="C4" t="n">
        <x:v>2025</x:v>
      </x:c>
      <x:c r="D4" t="str">
        <x:v>CVPR</x:v>
      </x:c>
      <x:c r="E4" t="str">
        <x:v>A</x:v>
      </x:c>
      <x:c r="F4" t="str">
        <x:v>Dexterous Hand</x:v>
      </x:c>
      <x:c r="G4" t="str">
        <x:v>Diffusion / Contact-rich Manipulation</x:v>
      </x:c>
      <x:c r="H4"/>
      <x:c r="I4"/>
      <x:c r="J4"/>
      <x:c r="K4"/>
      <x:c r="L4"/>
      <x:c r="M4"/>
      <x:c r="N4"/>
      <x:c r="O4"/>
      <x:c r="P4"/>
      <x:c r="Q4"/>
      <x:c r="R4"/>
      <x:c r="S4" t="str">
        <x:v>https://openaccess.thecvf.com/content/CVPR2025/html/Liang_DexHandDiff_Interaction-aware_Diffusion_Planning_for_Adaptive_Dexterous_Manipulation_CVPR_2025_paper.html</x:v>
      </x:c>
      <x:c r="T4" t="str">
        <x:v>https://dexdiffuser.github.io/</x:v>
      </x:c>
      <x:c r="U4" t="str">
        <x:v>Partial</x:v>
      </x:c>
      <x:c r="V4" t="str">
        <x:v>https://github.com/Liang-ZX/DexHandDiff</x:v>
      </x:c>
      <x:c r="W4"/>
      <x:c r="X4"/>
      <x:c r="Y4"/>
      <x:c r="Z4" t="str">
        <x:v>L1</x:v>
      </x:c>
      <x:c r="AA4"/>
      <x:c r="AB4" t="str">
        <x:v>L1 候选，非已完成审核的核心条目。2026-09-18 已核对 CVF 正式会议条目；CCF A 为用户提供、官网复核待完成。官方 README 明确称部分实现；已发现 scripts/plan_guided.py 与模型/引导源码，故记 Partial。未确认完整任务覆盖和本地可运行性。 仅静态核查。论文内容、实验、权重/数据可用性、复现性均待人工核验，相关字段留空；Verified_Date 待全项确认。commit ad20c56abec2217dbee5e51dc285798beb689f0c。</x:v>
      </x:c>
      <x:c r="AC4"/>
      <x:c r="AD4" t="str">
        <x:v>Dexterous</x:v>
      </x:c>
      <x:c r="AE4" t="str">
        <x:v>02_Papers/04_Dexterous/DexHandDiff.md</x:v>
      </x:c>
      <x:c r="AF4" t="n">
        <x:v>2</x:v>
      </x:c>
      <x:c r="AG4" t="str">
        <x:v>OpenAlex</x:v>
      </x:c>
      <x:c r="AH4" t="str">
        <x:v>2026-09-25</x:v>
      </x:c>
      <x:c r="AI4" t="str">
        <x:v>接触密集的灵巧操作需要根据目标与环境变化调整动作。</x:v>
      </x:c>
      <x:c r="AJ4" t="str">
        <x:v>Unknown / Needs Full-Paper Verification</x:v>
      </x:c>
      <x:c r="AK4" t="str">
        <x:v>以 `Diffusion / Contact-rich Manipulation` 为主要方法/能力线索；更细的结构和消融结论待正文核验。</x:v>
      </x:c>
      <x:c r="AL4" t="str">
        <x:v>已核验摘要未明确说明；需查阅论文方法与实验章节。</x:v>
      </x:c>
      <x:c r="AM4" t="str">
        <x:v>Unknown / Needs Full-Paper Verification</x:v>
      </x:c>
      <x:c r="AN4" t="str">
        <x:v>- In this work, we introduce DexHandDiff, an interaction-aware diffusion planning framework for adaptive dexterous manipulation.</x:v>
      </x:c>
      <x:c r="AO4" t="str">
        <x:v>Real Robot 字段为 `Unknown`；Dataset、Benchmark、Robot Platform 中的 Unknown 继续保留，不从题名推断。</x:v>
      </x:c>
      <x:c r="AP4" t="str">
        <x:v>官方摘要报告目标自适应任务平均成功率 70.7%。</x:v>
      </x:c>
      <x:c r="AQ4" t="str">
        <x:v>Unknown / Needs Full-Paper Verification</x:v>
      </x:c>
      <x:c r="AR4" t="str">
        <x:v>Library Analysis / Research Note: Unknown / Needs Full-Paper Verification</x:v>
      </x:c>
      <x:c r="AS4" t="str">
        <x:v>** 对灵巧操作扩展有参考价值；当前普通夹爪主线需区分可迁移的学习方法与依赖多指硬件的部分。</x:v>
      </x:c>
      <x:c r="AT4" t="str">
        <x:v>Diffusion / Contact-rich Manipulation</x:v>
      </x:c>
      <x:c r="AU4" t="str">
        <x:v>B</x:v>
      </x:c>
      <x:c r="AV4" t="str"/>
      <x:c r="AW4" t="str">
        <x:v>Unknown / Not Explicitly Reported in the currently accessible sources.</x:v>
      </x:c>
      <x:c r="AX4" t="str">
        <x:v>Unknown / Not Explicitly Reported in the currently accessible sources.</x:v>
      </x:c>
      <x:c r="AY4" t="str">
        <x:v>https://openalex.org/W4413146641</x:v>
      </x:c>
      <x:c r="AZ4" t="str">
        <x:v>https://openaccess.thecvf.com/content/CVPR2025/html/Liang_DexHandDiff_Interaction-aware_Diffusion_Planning_for_Adaptive_Dexterous_Manipulation_CVPR_2025_paper.html; https://dexdiffuser.github.io/; https://github.com/Liang-</x:v>
      </x:c>
      <x:c r="BA4" t="str">
        <x:v>B-Fulltext-Unavailable</x:v>
      </x:c>
      <x:c r="BB4" t="str">
        <x:v>Not Found</x:v>
      </x:c>
      <x:c r="BC4" t="str">
        <x:v>Partial</x:v>
      </x:c>
      <x:c r="BD4" t="str">
        <x:v>Unknown</x:v>
      </x:c>
      <x:c r="BE4" t="str">
        <x:v>https://openaccess.thecvf.com/content/CVPR2025/papers/Liang_DexHandDiff_Interaction-aware_Diffusion_Planning_for_Adaptive_Dexterous_Manipulation_CVPR_2025_paper.pdf</x:v>
      </x:c>
      <x:c r="BF4" t="str">
        <x:v>No</x:v>
      </x:c>
      <x:c r="BG4" t="str">
        <x:v>No</x:v>
      </x:c>
      <x:c r="BH4" t="str">
        <x:v>No</x:v>
      </x:c>
      <x:c r="BI4" t="str">
        <x:v>No</x:v>
      </x:c>
      <x:c r="BJ4" t="str">
        <x:v>No</x:v>
      </x:c>
      <x:c r="BK4" t="str">
        <x:v>No</x:v>
      </x:c>
      <x:c r="BL4" t="str">
        <x:v>No</x:v>
      </x:c>
      <x:c r="BM4" t="str">
        <x:v>Matched</x:v>
      </x:c>
      <x:c r="BN4" t="str">
        <x:v>Not Found After Verification</x:v>
      </x:c>
      <x:c r="BO4" t="str">
        <x:v>Not Found After Verification</x:v>
      </x:c>
      <x:c r="BP4" t="str">
        <x:v>Audit logged - deep extraction pending</x:v>
      </x:c>
      <x:c r="BQ4" t="str">
        <x:v>false</x:v>
      </x:c>
      <x:c r="BR4"/>
      <x:c r="BS4" t="str">
        <x:v>研究问题：接触密集的灵巧操作需要根据目标与环境变化调整动作。；之前方法的问题：固定轨迹或单一接触模式难适应复杂手—物交互。；核心思路：DexHandDiff 用交互感知的扩散式规划生成可适应目标变化的灵巧手动作。；主要结果：官方摘要报告目标自适应任务平均成功率 70.7%。；为什么重要：展示生成式策略如何表达多种接触动作。；与当前项目的关系：Medium：可借鉴动作生成机制，但灵巧手与普通夹爪不同。；主要局限：需检查真机接触、动作延迟和跨硬件泛化。</x:v>
      </x:c>
      <x:c r="BT4" t="str">
        <x:v>固定轨迹或单一接触模式难适应复杂手—物交互。</x:v>
      </x:c>
      <x:c r="BU4" t="str">
        <x:v>DexHandDiff 用交互感知的扩散式规划生成可适应目标变化的灵巧手动作。</x:v>
      </x:c>
      <x:c r="BV4" t="str"/>
      <x:c r="BW4" t="str">
        <x:v>官方摘要报告目标自适应任务平均成功率 70.7%。</x:v>
      </x:c>
      <x:c r="BX4" t="str">
        <x:v>展示生成式策略如何表达多种接触动作。</x:v>
      </x:c>
      <x:c r="BY4" t="str">
        <x:v>需检查真机接触、动作延迟和跨硬件泛化。</x:v>
      </x:c>
      <x:c r="BZ4" t="str"/>
      <x:c r="CA4" t="str">
        <x:v>Medium：可借鉴动作生成机制，但灵巧手与普通夹爪不同。</x:v>
      </x:c>
      <x:c r="CB4" t="str">
        <x:v>官方摘要/论文页; https://openaccess.thecvf.com/content/CVPR2025/html/Liang_DexHandDiff_Interaction-aware_Diffusion_Planning_for_Adaptive_Dexterous_Manipulation_CVPR_2025_paper.html; 核验于 2026-09-23. 仅为摘要级速读；原 Evidence Quality 不变。 - 核验层级：摘要有可追溯来源</x:v>
      </x:c>
      <x:c r="CC4" t="str">
        <x:v>title</x:v>
      </x:c>
      <x:c r="CD4" t="n">
        <x:v>0</x:v>
      </x:c>
      <x:c r="CE4" t="n">
        <x:v>1</x:v>
      </x:c>
    </x:row>
    <x:row r="5" ht="150" customHeight="1">
      <x:c r="A5" t="str">
        <x:v>P0004</x:v>
      </x:c>
      <x:c r="B5" t="str">
        <x:v>AR-VRM: Imitating Human Motions for Visual Robot Manipulation with Analogical Reasoning</x:v>
      </x:c>
      <x:c r="C5" t="n">
        <x:v>2025</x:v>
      </x:c>
      <x:c r="D5" t="str">
        <x:v>ICCV</x:v>
      </x:c>
      <x:c r="E5" t="str">
        <x:v>A</x:v>
      </x:c>
      <x:c r="F5" t="str">
        <x:v>Robot Manipulation</x:v>
      </x:c>
      <x:c r="G5" t="str">
        <x:v>Human Video / VLM</x:v>
      </x:c>
      <x:c r="H5"/>
      <x:c r="I5"/>
      <x:c r="J5"/>
      <x:c r="K5"/>
      <x:c r="L5"/>
      <x:c r="M5"/>
      <x:c r="N5"/>
      <x:c r="O5"/>
      <x:c r="P5"/>
      <x:c r="Q5"/>
      <x:c r="R5"/>
      <x:c r="S5" t="str">
        <x:v>https://openaccess.thecvf.com/content/ICCV2025/html/Yang_AR-VRM_Imitating_Human_Motions_for_Visual_Robot_Manipulation_with_Analogical_ICCV_2025_paper.html</x:v>
      </x:c>
      <x:c r="T5" t="str">
        <x:v>https://idejie.com/AR/</x:v>
      </x:c>
      <x:c r="U5" t="str">
        <x:v>Released</x:v>
      </x:c>
      <x:c r="V5" t="str">
        <x:v>https://github.com/idejie/ar</x:v>
      </x:c>
      <x:c r="W5"/>
      <x:c r="X5"/>
      <x:c r="Y5"/>
      <x:c r="Z5" t="str">
        <x:v>L1</x:v>
      </x:c>
      <x:c r="AA5"/>
      <x:c r="AB5" t="str">
        <x:v>L1 候选，非已完成审核的核心条目。2026-09-18 已核对 CVF 正式会议条目；CCF A 为用户提供、官网复核待完成。已检查 train.py、models/ar/modeling_ar.py，目录包含 evaluate.py。Released 仅指实质代码发布，尚未运行训练、推理或完整复现。 仅静态核查。论文内容、实验、权重/数据可用性、复现性均待人工核验，相关字段留空；Verified_Date 待全项确认。commit 3e075228a83c6365f2ceb1ce34f61353b449a001。</x:v>
      </x:c>
      <x:c r="AC5"/>
      <x:c r="AD5" t="str">
        <x:v>Diffusion / Flow / IL / RL</x:v>
      </x:c>
      <x:c r="AE5" t="str">
        <x:v>02_Papers/06_Diffusion_Flow_IL_RL/AR-VRM.md</x:v>
      </x:c>
      <x:c r="AF5" t="n">
        <x:v>0</x:v>
      </x:c>
      <x:c r="AG5" t="str">
        <x:v>OpenAlex</x:v>
      </x:c>
      <x:c r="AH5" t="str">
        <x:v>2026-09-25</x:v>
      </x:c>
      <x:c r="AI5" t="str">
        <x:v>视觉机器人操作要根据语言、视觉和状态输出可执行动作。</x:v>
      </x:c>
      <x:c r="AJ5" t="str">
        <x:v>Unknown / Needs Full-Paper Verification</x:v>
      </x:c>
      <x:c r="AK5" t="str">
        <x:v>以 `Human Video / VLM` 为主要方法/能力线索；更细的结构和消融结论待正文核验。</x:v>
      </x:c>
      <x:c r="AL5" t="str">
        <x:v>已核验摘要未明确说明；需查阅论文方法与实验章节。</x:v>
      </x:c>
      <x:c r="AM5" t="str">
        <x:v>Unknown / Needs Full-Paper Verification</x:v>
      </x:c>
      <x:c r="AN5" t="str">
        <x:v>- In this paper, we propose to learn from large-scale human action video datasets in an explicit way (i.e., imitating human actions from hand keypoints), introduc- ing Visual Robot Manipulation with Analogical Reasoning (AR-VRM).</x:v>
      </x:c>
      <x:c r="AO5" t="str">
        <x:v>Real Robot 字段为 `Unknown`；Dataset、Benchmark、Robot Platform 中的 Unknown 继续保留，不从题名推断。</x:v>
      </x:c>
      <x:c r="AP5" t="str">
        <x:v>作者报告小样本设置下优于所比较方法；摘要未给可安全复述的统一数值。</x:v>
      </x:c>
      <x:c r="AQ5" t="str">
        <x:v>Unknown / Needs Full-Paper Verification</x:v>
      </x:c>
      <x:c r="AR5" t="str">
        <x:v>Library Analysis / Research Note: Unknown / Needs Full-Paper Verification</x:v>
      </x:c>
      <x:c r="AS5" t="str">
        <x:v>** 与机器人操作、模仿学习或策略泛化相关；是否进入 L2/L3 取决于与双臂普通夹爪平台的可迁移性。</x:v>
      </x:c>
      <x:c r="AT5" t="str">
        <x:v>Human Video / VLM</x:v>
      </x:c>
      <x:c r="AU5" t="str">
        <x:v>B</x:v>
      </x:c>
      <x:c r="AV5" t="str"/>
      <x:c r="AW5" t="str">
        <x:v>Unknown / Not Explicitly Reported in the currently accessible sources.</x:v>
      </x:c>
      <x:c r="AX5" t="str">
        <x:v>Unknown / Not Explicitly Reported in the currently accessible sources.</x:v>
      </x:c>
      <x:c r="AY5" t="str">
        <x:v>https://openalex.org/W4416242580</x:v>
      </x:c>
      <x:c r="AZ5" t="str">
        <x:v>https://openaccess.thecvf.com/content/ICCV2025/html/Yang_AR-VRM_Imitating_Human_Motions_for_Visual_Robot_Manipulation_with_Analogical_ICCV_2025_paper.html；官方摘要/论文集元数据</x:v>
      </x:c>
      <x:c r="BA5" t="str">
        <x:v>B-Fulltext-Unavailable</x:v>
      </x:c>
      <x:c r="BB5" t="str">
        <x:v>Not Found</x:v>
      </x:c>
      <x:c r="BC5" t="str">
        <x:v>Mostly Complete</x:v>
      </x:c>
      <x:c r="BD5" t="str">
        <x:v>Unknown</x:v>
      </x:c>
      <x:c r="BE5" t="str">
        <x:v>https://openaccess.thecvf.com/content/ICCV2025/papers/Yang_AR-VRM_Imitating_Human_Motions_for_Visual_Robot_Manipulation_with_Analogical_ICCV_2025_paper.pdf</x:v>
      </x:c>
      <x:c r="BF5" t="str">
        <x:v>No</x:v>
      </x:c>
      <x:c r="BG5" t="str">
        <x:v>No</x:v>
      </x:c>
      <x:c r="BH5" t="str">
        <x:v>No</x:v>
      </x:c>
      <x:c r="BI5" t="str">
        <x:v>No</x:v>
      </x:c>
      <x:c r="BJ5" t="str">
        <x:v>No</x:v>
      </x:c>
      <x:c r="BK5" t="str">
        <x:v>No</x:v>
      </x:c>
      <x:c r="BL5" t="str">
        <x:v>No</x:v>
      </x:c>
      <x:c r="BM5" t="str">
        <x:v>Matched</x:v>
      </x:c>
      <x:c r="BN5" t="str">
        <x:v>Not Found After Verification</x:v>
      </x:c>
      <x:c r="BO5" t="str">
        <x:v>Not Found After Verification</x:v>
      </x:c>
      <x:c r="BP5" t="str">
        <x:v>Audit logged - deep extraction pending</x:v>
      </x:c>
      <x:c r="BQ5" t="str">
        <x:v>false</x:v>
      </x:c>
      <x:c r="BR5"/>
      <x:c r="BS5" t="str">
        <x:v>研究问题：视觉机器人操作要根据语言、视觉和状态输出可执行动作。；之前方法的问题：只依赖少量机器人示范，难以利用大量人类动作视频。；核心思路：AR-VRM 显式利用人类动作视频学习视觉操作表示，再适配机器人策略。；主要结果：作者报告小样本设置下优于所比较方法；摘要未给可安全复述的统一数值。；为什么重要：为人类视频转机器人动作提供另一种数据路线。；与当前项目的关系：Medium：与低成本数据收集相关，双臂夹爪迁移待验。；主要局限：人体动作和机器人动作空间差异需要明确对齐。</x:v>
      </x:c>
      <x:c r="BT5" t="str">
        <x:v>只依赖少量机器人示范，难以利用大量人类动作视频。</x:v>
      </x:c>
      <x:c r="BU5" t="str">
        <x:v>AR-VRM 显式利用人类动作视频学习视觉操作表示，再适配机器人策略。</x:v>
      </x:c>
      <x:c r="BV5" t="str"/>
      <x:c r="BW5" t="str">
        <x:v>作者报告小样本设置下优于所比较方法；摘要未给可安全复述的统一数值。</x:v>
      </x:c>
      <x:c r="BX5" t="str">
        <x:v>为人类视频转机器人动作提供另一种数据路线。</x:v>
      </x:c>
      <x:c r="BY5" t="str">
        <x:v>人体动作和机器人动作空间差异需要明确对齐。</x:v>
      </x:c>
      <x:c r="BZ5" t="str"/>
      <x:c r="CA5" t="str">
        <x:v>Medium：与低成本数据收集相关，双臂夹爪迁移待验。</x:v>
      </x:c>
      <x:c r="CB5" t="str">
        <x:v>官方摘要/论文页; https://openaccess.thecvf.com/content/ICCV2025/html/Yang_AR-VRM_Imitating_Human_Motions_for_Visual_Robot_Manipulation_with_Analogical_ICCV_2025_paper.html; 核验于 2026-09-23. 仅为摘要级速读；原 Evidence Quality 不变。 - 核验层级：摘要有可追溯来源</x:v>
      </x:c>
      <x:c r="CC5" t="str">
        <x:v>title</x:v>
      </x:c>
      <x:c r="CD5" t="n">
        <x:v>0</x:v>
      </x:c>
      <x:c r="CE5" t="n">
        <x:v>0</x:v>
      </x:c>
    </x:row>
    <x:row r="6">
      <x:c r="A6" t="str">
        <x:v>P0005</x:v>
      </x:c>
      <x:c r="B6" t="str">
        <x:v>Do As I Can, Not As I Say: Grounding Language in Robotic Affordances</x:v>
      </x:c>
      <x:c r="C6" t="n">
        <x:v>2022</x:v>
      </x:c>
      <x:c r="D6" t="str">
        <x:v>CoRL</x:v>
      </x:c>
      <x:c r="E6" t="str">
        <x:v>Not CCF A</x:v>
      </x:c>
      <x:c r="F6" t="str">
        <x:v>VLA / Robot Manipulation / Language Grounding</x:v>
      </x:c>
      <x:c r="G6" t="str">
        <x:v>Language-conditioned planning / affordance grounding</x:v>
      </x:c>
      <x:c r="H6" t="str">
        <x:v>LLMs lack embodiment and execution grounding for long-horizon robot instructions.</x:v>
      </x:c>
      <x:c r="I6" t="str">
        <x:v>Text-only planning can propose infeasible skills; prior systems do not jointly score usefulness and current-state feasibility.</x:v>
      </x:c>
      <x:c r="J6" t="str">
        <x:v>SayCan multiplies LLM skill usefulness with affordance/value feasibility and replans after every executed skill.</x:v>
      </x:c>
      <x:c r="K6" t="str">
        <x:v>Interpretable language-conditioned skill composition grounded by learned value functions; 101-task real/mock kitchen evaluation.</x:v>
      </x:c>
      <x:c r="L6" t="str">
        <x:v>Everyday Robots mobile manipulator; two-finger gripper</x:v>
      </x:c>
      <x:c r="M6" t="str">
        <x:v>Single arm</x:v>
      </x:c>
      <x:c r="N6" t="str">
        <x:v>Yes</x:v>
      </x:c>
      <x:c r="O6" t="str">
        <x:v>RGB observation plus language instruction and robot state</x:v>
      </x:c>
      <x:c r="P6" t="str">
        <x:v>Skill-level pick/place/navigation/drawer actions; low-level 7-DoF arm and gripper control</x:v>
      </x:c>
      <x:c r="Q6" t="str">
        <x:v>68k demonstrations + 12k successful autonomous episodes (official blog/project report); SayCan dataset v0</x:v>
      </x:c>
      <x:c r="R6" t="str">
        <x:v>101 natural-language instructions; Mock Kitchen and Real Kitchen; 7 instruction families</x:v>
      </x:c>
      <x:c r="S6" t="str">
        <x:v>https://research.google/pubs/do-as-i-can-not-as-i-say-grounding-language-in-robotic-affordances/</x:v>
      </x:c>
      <x:c r="T6" t="str">
        <x:v>https://say-can.github.io/</x:v>
      </x:c>
      <x:c r="U6" t="str">
        <x:v>Partial - official tabletop simulation released</x:v>
      </x:c>
      <x:c r="V6" t="str">
        <x:v>https://github.com/google-research/google-research/tree/master/saycan</x:v>
      </x:c>
      <x:c r="W6" t="str">
        <x:v>Not released as complete PaLM/Everyday Robots stack</x:v>
      </x:c>
      <x:c r="X6" t="str">
        <x:v>Partial - SayCan dataset v0; full training dump not confirmed</x:v>
      </x:c>
      <x:c r="Y6" t="str">
        <x:v>Official tabletop environment available; original kitchen stack not fully reproducible</x:v>
      </x:c>
      <x:c r="Z6" t="str">
        <x:v>L1</x:v>
      </x:c>
      <x:c r="AA6" t="str">
        <x:v>L1 / foundational; direct inspiration for feasibility scoring, bimanual joint affordance and recovery</x:v>
      </x:c>
      <x:c r="AB6" t="str">
        <x:v>Full-text Evidence A. 551 skills, 7 families, 17 objects; Table 2 Mock 84/74 and Real 81/60.</x:v>
      </x:c>
      <x:c r="AC6" t="str">
        <x:v>2026-09-22</x:v>
      </x:c>
      <x:c r="AD6" t="str">
        <x:v>VLA</x:v>
      </x:c>
      <x:c r="AE6" t="str">
        <x:v>02_Papers/01_VLA/SayCan.md</x:v>
      </x:c>
      <x:c r="AF6" t="n">
        <x:v>523</x:v>
      </x:c>
      <x:c r="AG6" t="str">
        <x:v>OpenAlex</x:v>
      </x:c>
      <x:c r="AH6" t="str">
        <x:v>2026-09-25</x:v>
      </x:c>
      <x:c r="AI6" t="str">
        <x:v>LLM 能拆解长指令，但不知道当前机器人真正能做什么。</x:v>
      </x:c>
      <x:c r="AJ6" t="str">
        <x:v>Long-horizon abstract instructions require both useful decomposition and physically feasible execution.</x:v>
      </x:c>
      <x:c r="AK6" t="str">
        <x:v>SayCan: p(cπ|s,ℓπ) × p(ℓπ|i), receding-horizon skill selection.</x:v>
      </x:c>
      <x:c r="AL6" t="str">
        <x:v>Mock Kitchen 与真实办公室厨房任务。</x:v>
      </x:c>
      <x:c r="AM6" t="str">
        <x:v>No VF; Generative; FLAN-SayCan; BC NL; BC USE; PaLM scale ablations.</x:v>
      </x:c>
      <x:c r="AN6" t="str">
        <x:v>Affordance-grounded interpretable LLM planning over pretrained skills.</x:v>
      </x:c>
      <x:c r="AO6" t="str">
        <x:v>Everyday Robots mobile manipulator; 551 candidate skills; PaLM 540B; Mock/Real Kitchen.</x:v>
      </x:c>
      <x:c r="AP6" t="str">
        <x:v>Mock 84% plan / 74% execute; Real 81% / 60%; FLAN 70% / 61%; drawer 100% / 33%.</x:v>
      </x:c>
      <x:c r="AQ6" t="str">
        <x:v>Fixed skill library; value-function/current-step feedback; low-level execution and recovery remain limited.</x:v>
      </x:c>
      <x:c r="AR6" t="str">
        <x:v>Open-ended skill synthesis, continuous/contact grounding, closed-loop verification/recovery, bimanual joint feasibility.</x:v>
      </x:c>
      <x:c r="AS6" t="str">
        <x:v>Use dual language-usefulness and joint-arm feasibility scoring; add post-action verification and replanning for NERO.</x:v>
      </x:c>
      <x:c r="AT6" t="str">
        <x:v>VLA; Robot Manipulation; Language Grounding; Affordance; Long-horizon; Planning; RL; IL; Sim2Real</x:v>
      </x:c>
      <x:c r="AU6" t="str">
        <x:v>A</x:v>
      </x:c>
      <x:c r="AV6" t="str"/>
      <x:c r="AW6" t="str">
        <x:v>No VF, Generative, BC NL/USE, PaLM 8B/62B/540B, FLAN 137B; drawer/CoT/multilingual appendices.</x:v>
      </x:c>
      <x:c r="AX6" t="str">
        <x:v>Plan-execute gap; wrong object/negation; drawer manipulation and incomplete close; embodiment-specific failures.</x:v>
      </x:c>
      <x:c r="AY6" t="str">
        <x:v>https://openalex.org/W4224912544</x:v>
      </x:c>
      <x:c r="AZ6" t="str">
        <x:v>Google Research publication; arXiv HTML 2204.01691; CoRL/PMLR; say-can.github.io; Google Research blog; official google-research/saycan</x:v>
      </x:c>
      <x:c r="BA6" t="str">
        <x:v>A-Upgraded</x:v>
      </x:c>
      <x:c r="BB6" t="str">
        <x:v>Available - Verified</x:v>
      </x:c>
      <x:c r="BC6" t="str">
        <x:v>Partial</x:v>
      </x:c>
      <x:c r="BD6" t="str">
        <x:v>Yes</x:v>
      </x:c>
      <x:c r="BE6" t="e">
        <x:f>HYPERLINK("https://arxiv.org/html/2204.01691","论文")</x:f>
        <x:v>HYPERLINK is not implemented. linkLocation=https://arxiv.org/html/2204.01691, friendlyName=论文</x:v>
      </x:c>
      <x:c r="BF6" t="str">
        <x:v>Yes</x:v>
      </x:c>
      <x:c r="BG6" t="str">
        <x:v>Yes</x:v>
      </x:c>
      <x:c r="BH6" t="str">
        <x:v>Yes</x:v>
      </x:c>
      <x:c r="BI6" t="str">
        <x:v>Yes</x:v>
      </x:c>
      <x:c r="BJ6" t="str">
        <x:v>Yes</x:v>
      </x:c>
      <x:c r="BK6" t="str">
        <x:v>Yes</x:v>
      </x:c>
      <x:c r="BL6" t="str">
        <x:v>Yes</x:v>
      </x:c>
      <x:c r="BM6" t="str">
        <x:v>Matched</x:v>
      </x:c>
      <x:c r="BN6" t="e">
        <x:f>HYPERLINK("https://doi.org/10.48550/arXiv.2204.01691","DOI")</x:f>
        <x:v>HYPERLINK is not implemented. linkLocation=https://doi.org/10.48550/arXiv.2204.01691, friendlyName=DOI</x:v>
      </x:c>
      <x:c r="BO6" t="e">
        <x:f>HYPERLINK("https://arxiv.org/abs/2204.01691","arXiv")</x:f>
        <x:v>HYPERLINK is not implemented. linkLocation=https://arxiv.org/abs/2204.01691, friendlyName=arXiv</x:v>
      </x:c>
      <x:c r="BP6" t="str">
        <x:v>Completed - Full text read</x:v>
      </x:c>
      <x:c r="BQ6" t="str">
        <x:v>true</x:v>
      </x:c>
      <x:c r="BR6" t="str">
        <x:v>Completed-A</x:v>
      </x:c>
      <x:c r="BS6" t="str">
        <x:v>研究问题：LLM 能拆解长指令，但不知道当前机器人真正能做什么。；之前方法的问题：只按语言相关性选技能，可能生成物理上不可执行的计划。；核心思路：SayCan 结合语言模型的技能匹配分数与技能价值/可供性估计，逐步选择当前可执行的操作。；数据集与评测基准：Mock Kitchen 与真实办公室厨房任务。；为什么重要：把语言规划和机器人可执行性明确连接起来。；与当前项目的关系：High：双臂普通夹爪需要在动作前判断技能是否可行。；主要局限：技能库、价值估计和环境假设依赖特定机器人；规划成功不保证动作完成。</x:v>
      </x:c>
      <x:c r="BT6" t="str">
        <x:v>只按语言相关性选技能，可能生成物理上不可执行的计划。</x:v>
      </x:c>
      <x:c r="BU6" t="str">
        <x:v>SayCan 结合语言模型的技能匹配分数与技能价值/可供性估计，逐步选择当前可执行的操作。</x:v>
      </x:c>
      <x:c r="BV6" t="str"/>
      <x:c r="BW6" t="str">
        <x:v>卡片记录 Mock Kitchen 101 条指令中规划成功 84%、物理执行 74%；真实办公室厨房规划 81%，完整执行值见 Table 2。</x:v>
      </x:c>
      <x:c r="BX6" t="str">
        <x:v>把语言规划和机器人可执行性明确连接起来。</x:v>
      </x:c>
      <x:c r="BY6" t="str">
        <x:v>技能库、价值估计和环境假设依赖特定机器人；规划成功不保证动作完成。</x:v>
      </x:c>
      <x:c r="BZ6" t="str">
        <x:v>1. Open-ended tasks outside the fixed skill library remain unsupported (Sec. 3–4 evidence).
2. Continuous action and contact-level grounding remain inside pretrained policies rather than the LLM planner (Sec. 4 / Appendix C).
3. Execution verification and recovery after an unsuccessful skill are not closed-loop in vanilla SayCan (Sec. 5.2 and project page).
4. Long-horizon compounding failures remain visible in plan–execute gaps and drawer results (Tables 2, 3 and 8).
5. Joint feasibility and role allocation for bimanual ordinary-gripper systems are not evaluated (library/project analysis).</x:v>
      </x:c>
      <x:c r="CA6" t="str">
        <x:v>High：双臂普通夹爪需要在动作前判断技能是否可行。</x:v>
      </x:c>
      <x:c r="CB6" t="str">
        <x:v>官方摘要/论文页; https://arxiv.org/html/2204.01691; 核验于 2026-09-23. 仅为摘要级速读；原 Evidence Quality 不变。 - 核验层级：摘要有可追溯来源</x:v>
      </x:c>
      <x:c r="CC6" t="str">
        <x:v>doi</x:v>
      </x:c>
      <x:c r="CD6" t="n">
        <x:v>0</x:v>
      </x:c>
      <x:c r="CE6" t="n">
        <x:v>7</x:v>
      </x:c>
    </x:row>
    <x:row r="7">
      <x:c r="AC7" s="7"/>
    </x:row>
    <x:row r="8">
      <x:c r="AC8" s="7"/>
    </x:row>
    <x:row r="9">
      <x:c r="AC9" s="7"/>
    </x:row>
    <x:row r="10">
      <x:c r="AC10" s="7"/>
    </x:row>
    <x:row r="11">
      <x:c r="AC11" s="7"/>
    </x:row>
    <x:row r="12">
      <x:c r="AC12" s="7"/>
    </x:row>
    <x:row r="13">
      <x:c r="AC13" s="7"/>
    </x:row>
    <x:row r="14">
      <x:c r="AC14" s="7"/>
    </x:row>
    <x:row r="15">
      <x:c r="AC15" s="7"/>
    </x:row>
    <x:row r="16">
      <x:c r="AC16" s="7"/>
    </x:row>
    <x:row r="17">
      <x:c r="AC17" s="7"/>
    </x:row>
    <x:row r="18">
      <x:c r="AC18" s="7"/>
    </x:row>
    <x:row r="19">
      <x:c r="AC19" s="7"/>
    </x:row>
    <x:row r="20">
      <x:c r="AC20" s="7"/>
    </x:row>
    <x:row r="21">
      <x:c r="AC21" s="7"/>
    </x:row>
    <x:row r="22">
      <x:c r="AC22" s="7"/>
    </x:row>
    <x:row r="23">
      <x:c r="AC23" s="7"/>
    </x:row>
    <x:row r="24">
      <x:c r="AC24" s="7"/>
    </x:row>
    <x:row r="25">
      <x:c r="AC25" s="7"/>
    </x:row>
    <x:row r="26">
      <x:c r="AC26" s="7"/>
    </x:row>
    <x:row r="27">
      <x:c r="AC27" s="7"/>
    </x:row>
    <x:row r="28">
      <x:c r="AC28" s="7"/>
    </x:row>
    <x:row r="29">
      <x:c r="AC29" s="7"/>
    </x:row>
    <x:row r="30">
      <x:c r="AC30" s="7"/>
    </x:row>
    <x:row r="31">
      <x:c r="AC31" s="7"/>
    </x:row>
    <x:row r="32">
      <x:c r="AC32" s="7"/>
    </x:row>
    <x:row r="33">
      <x:c r="AC33" s="7"/>
    </x:row>
    <x:row r="34">
      <x:c r="AC34" s="7"/>
    </x:row>
    <x:row r="35">
      <x:c r="AC35" s="7"/>
    </x:row>
    <x:row r="36">
      <x:c r="AC36" s="7"/>
    </x:row>
    <x:row r="37">
      <x:c r="AC37" s="7"/>
    </x:row>
    <x:row r="38">
      <x:c r="AC38" s="7"/>
    </x:row>
    <x:row r="39">
      <x:c r="AC39" s="7"/>
    </x:row>
    <x:row r="40">
      <x:c r="AC40" s="7"/>
    </x:row>
    <x:row r="41">
      <x:c r="AC41" s="7"/>
    </x:row>
    <x:row r="42">
      <x:c r="AC42" s="7"/>
    </x:row>
    <x:row r="43">
      <x:c r="AC43" s="7"/>
    </x:row>
    <x:row r="44">
      <x:c r="AC44" s="7"/>
    </x:row>
    <x:row r="45">
      <x:c r="AC45" s="7"/>
    </x:row>
    <x:row r="46">
      <x:c r="AC46" s="7"/>
    </x:row>
    <x:row r="47">
      <x:c r="AC47" s="7"/>
    </x:row>
    <x:row r="48">
      <x:c r="AC48" s="7"/>
    </x:row>
    <x:row r="49">
      <x:c r="AC49" s="7"/>
    </x:row>
    <x:row r="50">
      <x:c r="AC50" s="7"/>
    </x:row>
    <x:row r="51">
      <x:c r="AC51" s="7"/>
    </x:row>
    <x:row r="52">
      <x:c r="AC52" s="7"/>
    </x:row>
    <x:row r="53">
      <x:c r="AC53" s="7"/>
    </x:row>
    <x:row r="54">
      <x:c r="AC54" s="7"/>
    </x:row>
    <x:row r="55">
      <x:c r="AC55" s="7"/>
    </x:row>
    <x:row r="56">
      <x:c r="AC56" s="7"/>
    </x:row>
    <x:row r="57">
      <x:c r="AC57" s="7"/>
    </x:row>
    <x:row r="58">
      <x:c r="AC58" s="7"/>
    </x:row>
    <x:row r="59">
      <x:c r="AC59" s="7"/>
    </x:row>
    <x:row r="60">
      <x:c r="AC60" s="7"/>
    </x:row>
    <x:row r="61">
      <x:c r="AC61" s="7"/>
    </x:row>
    <x:row r="62">
      <x:c r="AC62" s="7"/>
    </x:row>
    <x:row r="63">
      <x:c r="AC63" s="7"/>
    </x:row>
    <x:row r="64">
      <x:c r="AC64" s="7"/>
    </x:row>
    <x:row r="65">
      <x:c r="AC65" s="7"/>
    </x:row>
    <x:row r="66">
      <x:c r="AC66" s="7"/>
    </x:row>
    <x:row r="67">
      <x:c r="AC67" s="7"/>
    </x:row>
    <x:row r="68">
      <x:c r="AC68" s="7"/>
    </x:row>
    <x:row r="69">
      <x:c r="AC69" s="7"/>
    </x:row>
    <x:row r="70">
      <x:c r="AC70" s="7"/>
    </x:row>
    <x:row r="71">
      <x:c r="AC71" s="7"/>
    </x:row>
    <x:row r="72">
      <x:c r="AC72" s="7"/>
    </x:row>
    <x:row r="73">
      <x:c r="AC73" s="7"/>
    </x:row>
    <x:row r="74">
      <x:c r="AC74" s="7"/>
    </x:row>
    <x:row r="75">
      <x:c r="AC75" s="7"/>
    </x:row>
    <x:row r="76">
      <x:c r="AC76" s="7"/>
    </x:row>
    <x:row r="77">
      <x:c r="AC77" s="7"/>
    </x:row>
    <x:row r="78">
      <x:c r="AC78" s="7"/>
    </x:row>
    <x:row r="79">
      <x:c r="AC79" s="7"/>
    </x:row>
    <x:row r="80">
      <x:c r="AC80" s="7"/>
    </x:row>
    <x:row r="81">
      <x:c r="AC81" s="7"/>
    </x:row>
    <x:row r="82">
      <x:c r="AC82" s="7"/>
    </x:row>
    <x:row r="83">
      <x:c r="AC83" s="7"/>
    </x:row>
    <x:row r="84">
      <x:c r="AC84" s="7"/>
    </x:row>
    <x:row r="85">
      <x:c r="AC85" s="7"/>
    </x:row>
    <x:row r="86">
      <x:c r="AC86" s="7"/>
    </x:row>
    <x:row r="87">
      <x:c r="AC87" s="7"/>
    </x:row>
    <x:row r="88">
      <x:c r="AC88" s="7"/>
    </x:row>
    <x:row r="89">
      <x:c r="AC89" s="7"/>
    </x:row>
    <x:row r="90">
      <x:c r="AC90" s="7"/>
    </x:row>
    <x:row r="91">
      <x:c r="AC91" s="7"/>
    </x:row>
    <x:row r="92">
      <x:c r="AC92" s="7"/>
    </x:row>
    <x:row r="93">
      <x:c r="AC93" s="7"/>
    </x:row>
    <x:row r="94">
      <x:c r="AC94" s="7"/>
    </x:row>
    <x:row r="95">
      <x:c r="AC95" s="7"/>
    </x:row>
    <x:row r="96">
      <x:c r="AC96" s="7"/>
    </x:row>
    <x:row r="97">
      <x:c r="AC97" s="7"/>
    </x:row>
    <x:row r="98">
      <x:c r="AC98" s="7"/>
    </x:row>
    <x:row r="99">
      <x:c r="AC99" s="7"/>
    </x:row>
    <x:row r="100">
      <x:c r="AC100" s="7"/>
    </x:row>
    <x:row r="101">
      <x:c r="AC101" s="7"/>
    </x:row>
    <x:row r="102">
      <x:c r="AC102" s="7"/>
    </x:row>
    <x:row r="103">
      <x:c r="AC103" s="7"/>
    </x:row>
    <x:row r="104">
      <x:c r="AC104" s="7"/>
    </x:row>
    <x:row r="105">
      <x:c r="AC105" s="7"/>
    </x:row>
    <x:row r="106">
      <x:c r="AC106" s="7"/>
    </x:row>
    <x:row r="107">
      <x:c r="AC107" s="7"/>
    </x:row>
    <x:row r="108">
      <x:c r="AC108" s="7"/>
    </x:row>
    <x:row r="109">
      <x:c r="AC109" s="7"/>
    </x:row>
    <x:row r="110">
      <x:c r="AC110" s="7"/>
    </x:row>
    <x:row r="111">
      <x:c r="AC111" s="7"/>
    </x:row>
    <x:row r="112">
      <x:c r="AC112" s="7"/>
    </x:row>
    <x:row r="113">
      <x:c r="AC113" s="7"/>
    </x:row>
    <x:row r="114">
      <x:c r="AC114" s="7"/>
    </x:row>
    <x:row r="115">
      <x:c r="AC115" s="7"/>
    </x:row>
    <x:row r="116">
      <x:c r="AC116" s="7"/>
    </x:row>
    <x:row r="117">
      <x:c r="AC117" s="7"/>
    </x:row>
    <x:row r="118">
      <x:c r="AC118" s="7"/>
    </x:row>
    <x:row r="119">
      <x:c r="AC119" s="7"/>
    </x:row>
    <x:row r="120">
      <x:c r="AC120" s="7"/>
    </x:row>
    <x:row r="121">
      <x:c r="AC121" s="7"/>
    </x:row>
    <x:row r="122">
      <x:c r="AC122" s="7"/>
    </x:row>
    <x:row r="123">
      <x:c r="AC123" s="7"/>
    </x:row>
    <x:row r="124">
      <x:c r="AC124" s="7"/>
    </x:row>
    <x:row r="125">
      <x:c r="AC125" s="7"/>
    </x:row>
    <x:row r="126">
      <x:c r="AC126" s="7"/>
    </x:row>
    <x:row r="127">
      <x:c r="AC127" s="7"/>
    </x:row>
    <x:row r="128">
      <x:c r="AC128" s="7"/>
    </x:row>
    <x:row r="129">
      <x:c r="AC129" s="7"/>
    </x:row>
    <x:row r="130">
      <x:c r="AC130" s="7"/>
    </x:row>
    <x:row r="131">
      <x:c r="AC131" s="7"/>
    </x:row>
    <x:row r="132">
      <x:c r="AC132" s="7"/>
    </x:row>
    <x:row r="133">
      <x:c r="AC133" s="7"/>
    </x:row>
    <x:row r="134">
      <x:c r="AC134" s="7"/>
    </x:row>
    <x:row r="135">
      <x:c r="AC135" s="7"/>
    </x:row>
    <x:row r="136">
      <x:c r="AC136" s="7"/>
    </x:row>
    <x:row r="137">
      <x:c r="AC137" s="7"/>
    </x:row>
    <x:row r="138">
      <x:c r="AC138" s="7"/>
    </x:row>
    <x:row r="139">
      <x:c r="AC139" s="7"/>
    </x:row>
    <x:row r="140">
      <x:c r="AC140" s="7"/>
    </x:row>
    <x:row r="141">
      <x:c r="AC141" s="7"/>
    </x:row>
    <x:row r="142">
      <x:c r="AC142" s="7"/>
    </x:row>
    <x:row r="143">
      <x:c r="AC143" s="7"/>
    </x:row>
    <x:row r="144">
      <x:c r="AC144" s="7"/>
    </x:row>
    <x:row r="145">
      <x:c r="AC145" s="7"/>
    </x:row>
    <x:row r="146">
      <x:c r="AC146" s="7"/>
    </x:row>
    <x:row r="147">
      <x:c r="AC147" s="7"/>
    </x:row>
    <x:row r="148">
      <x:c r="AC148" s="7"/>
    </x:row>
    <x:row r="149">
      <x:c r="AC149" s="7"/>
    </x:row>
    <x:row r="150">
      <x:c r="AC150" s="7"/>
    </x:row>
    <x:row r="151">
      <x:c r="AC151" s="7"/>
    </x:row>
    <x:row r="152">
      <x:c r="AC152" s="7"/>
    </x:row>
    <x:row r="153">
      <x:c r="AC153" s="7"/>
    </x:row>
    <x:row r="154">
      <x:c r="AC154" s="7"/>
    </x:row>
    <x:row r="155">
      <x:c r="AC155" s="7"/>
    </x:row>
    <x:row r="156">
      <x:c r="AC156" s="7"/>
    </x:row>
    <x:row r="157">
      <x:c r="AC157" s="7"/>
    </x:row>
    <x:row r="158">
      <x:c r="AC158" s="7"/>
    </x:row>
    <x:row r="159">
      <x:c r="AC159" s="7"/>
    </x:row>
    <x:row r="160">
      <x:c r="AC160" s="7"/>
    </x:row>
    <x:row r="161">
      <x:c r="AC161" s="7"/>
    </x:row>
    <x:row r="162">
      <x:c r="AC162" s="7"/>
    </x:row>
    <x:row r="163">
      <x:c r="AC163" s="7"/>
    </x:row>
    <x:row r="164">
      <x:c r="AC164" s="7"/>
    </x:row>
    <x:row r="165">
      <x:c r="AC165" s="7"/>
    </x:row>
    <x:row r="166">
      <x:c r="AC166" s="7"/>
    </x:row>
    <x:row r="167">
      <x:c r="AC167" s="7"/>
    </x:row>
    <x:row r="168">
      <x:c r="AC168" s="7"/>
    </x:row>
    <x:row r="169">
      <x:c r="AC169" s="7"/>
    </x:row>
    <x:row r="170">
      <x:c r="AC170" s="7"/>
    </x:row>
    <x:row r="171">
      <x:c r="AC171" s="7"/>
    </x:row>
    <x:row r="172">
      <x:c r="AC172" s="7"/>
    </x:row>
    <x:row r="173">
      <x:c r="AC173" s="7"/>
    </x:row>
    <x:row r="174">
      <x:c r="AC174" s="7"/>
    </x:row>
    <x:row r="175">
      <x:c r="AC175" s="7"/>
    </x:row>
    <x:row r="176">
      <x:c r="AC176" s="7"/>
    </x:row>
    <x:row r="177">
      <x:c r="AC177" s="7"/>
    </x:row>
    <x:row r="178">
      <x:c r="AC178" s="7"/>
    </x:row>
    <x:row r="179">
      <x:c r="AC179" s="7"/>
    </x:row>
    <x:row r="180">
      <x:c r="AC180" s="7"/>
    </x:row>
    <x:row r="181">
      <x:c r="AC181" s="7"/>
    </x:row>
    <x:row r="182">
      <x:c r="AC182" s="7"/>
    </x:row>
    <x:row r="183">
      <x:c r="AC183" s="7"/>
    </x:row>
    <x:row r="184">
      <x:c r="AC184" s="7"/>
    </x:row>
    <x:row r="185">
      <x:c r="AC185" s="7"/>
    </x:row>
    <x:row r="186">
      <x:c r="AC186" s="7"/>
    </x:row>
    <x:row r="187">
      <x:c r="AC187" s="7"/>
    </x:row>
    <x:row r="188">
      <x:c r="AC188" s="7"/>
    </x:row>
    <x:row r="189">
      <x:c r="AC189" s="7"/>
    </x:row>
    <x:row r="190">
      <x:c r="AC190" s="7"/>
    </x:row>
    <x:row r="191">
      <x:c r="AC191" s="7"/>
    </x:row>
    <x:row r="192">
      <x:c r="AC192" s="7"/>
    </x:row>
    <x:row r="193">
      <x:c r="AC193" s="7"/>
    </x:row>
    <x:row r="194">
      <x:c r="AC194" s="7"/>
    </x:row>
    <x:row r="195">
      <x:c r="AC195" s="7"/>
    </x:row>
    <x:row r="196">
      <x:c r="AC196" s="7"/>
    </x:row>
    <x:row r="197">
      <x:c r="AC197" s="7"/>
    </x:row>
    <x:row r="198">
      <x:c r="AC198" s="7"/>
    </x:row>
    <x:row r="199">
      <x:c r="AC199" s="7"/>
    </x:row>
    <x:row r="200">
      <x:c r="AC200" s="7"/>
    </x:row>
    <x:row r="201">
      <x:c r="AC201" s="7"/>
    </x:row>
    <x:row r="202">
      <x:c r="AC202" s="7"/>
    </x:row>
    <x:row r="203">
      <x:c r="AC203" s="7"/>
    </x:row>
    <x:row r="204">
      <x:c r="AC204" s="7"/>
    </x:row>
    <x:row r="205">
      <x:c r="AC205" s="7"/>
    </x:row>
    <x:row r="206">
      <x:c r="AC206" s="7"/>
    </x:row>
    <x:row r="207">
      <x:c r="AC207" s="7"/>
    </x:row>
    <x:row r="208">
      <x:c r="AC208" s="7"/>
    </x:row>
    <x:row r="209">
      <x:c r="AC209" s="7"/>
    </x:row>
    <x:row r="210">
      <x:c r="AC210" s="7"/>
    </x:row>
    <x:row r="211">
      <x:c r="AC211" s="7"/>
    </x:row>
    <x:row r="212">
      <x:c r="AC212" s="7"/>
    </x:row>
    <x:row r="213">
      <x:c r="AC213" s="7"/>
    </x:row>
    <x:row r="214">
      <x:c r="AC214" s="7"/>
    </x:row>
    <x:row r="215">
      <x:c r="AC215" s="7"/>
    </x:row>
    <x:row r="216">
      <x:c r="AC216" s="7"/>
    </x:row>
    <x:row r="217">
      <x:c r="AC217" s="7"/>
    </x:row>
    <x:row r="218">
      <x:c r="AC218" s="7"/>
    </x:row>
    <x:row r="219">
      <x:c r="AC219" s="7"/>
    </x:row>
    <x:row r="220">
      <x:c r="AC220" s="7"/>
    </x:row>
    <x:row r="221">
      <x:c r="AC221" s="7"/>
    </x:row>
    <x:row r="222">
      <x:c r="AC222" s="7"/>
    </x:row>
    <x:row r="223">
      <x:c r="AC223" s="7"/>
    </x:row>
    <x:row r="224">
      <x:c r="AC224" s="7"/>
    </x:row>
    <x:row r="225">
      <x:c r="AC225" s="7"/>
    </x:row>
    <x:row r="226">
      <x:c r="AC226" s="7"/>
    </x:row>
    <x:row r="227">
      <x:c r="AC227" s="7"/>
    </x:row>
    <x:row r="228">
      <x:c r="AC228" s="7"/>
    </x:row>
    <x:row r="229">
      <x:c r="AC229" s="7"/>
    </x:row>
    <x:row r="230">
      <x:c r="AC230" s="7"/>
    </x:row>
    <x:row r="231">
      <x:c r="AC231" s="7"/>
    </x:row>
    <x:row r="232">
      <x:c r="AC232" s="7"/>
    </x:row>
    <x:row r="233">
      <x:c r="AC233" s="7"/>
    </x:row>
    <x:row r="234">
      <x:c r="AC234" s="7"/>
    </x:row>
    <x:row r="235">
      <x:c r="AC235" s="7"/>
    </x:row>
    <x:row r="236">
      <x:c r="AC236" s="7"/>
    </x:row>
    <x:row r="237">
      <x:c r="AC237" s="7"/>
    </x:row>
    <x:row r="238">
      <x:c r="AC238" s="7"/>
    </x:row>
    <x:row r="239">
      <x:c r="AC239" s="7"/>
    </x:row>
    <x:row r="240">
      <x:c r="AC240" s="7"/>
    </x:row>
    <x:row r="241">
      <x:c r="AC241" s="7"/>
    </x:row>
    <x:row r="242">
      <x:c r="AC242" s="7"/>
    </x:row>
    <x:row r="243">
      <x:c r="AC243" s="7"/>
    </x:row>
    <x:row r="244">
      <x:c r="AC244" s="7"/>
    </x:row>
    <x:row r="245">
      <x:c r="AC245" s="7"/>
    </x:row>
    <x:row r="246">
      <x:c r="AC246" s="7"/>
    </x:row>
    <x:row r="247">
      <x:c r="AC247" s="7"/>
    </x:row>
    <x:row r="248">
      <x:c r="AC248" s="7"/>
    </x:row>
    <x:row r="249">
      <x:c r="AC249" s="7"/>
    </x:row>
    <x:row r="250">
      <x:c r="AC250" s="7"/>
    </x:row>
    <x:row r="251">
      <x:c r="AC251" s="7"/>
    </x:row>
    <x:row r="252">
      <x:c r="AC252" s="7"/>
    </x:row>
    <x:row r="253">
      <x:c r="AC253" s="7"/>
    </x:row>
    <x:row r="254">
      <x:c r="AC254" s="7"/>
    </x:row>
    <x:row r="255">
      <x:c r="AC255" s="7"/>
    </x:row>
    <x:row r="256">
      <x:c r="AC256" s="7"/>
    </x:row>
    <x:row r="257">
      <x:c r="AC257" s="7"/>
    </x:row>
    <x:row r="258">
      <x:c r="AC258" s="7"/>
    </x:row>
    <x:row r="259">
      <x:c r="AC259" s="7"/>
    </x:row>
    <x:row r="260">
      <x:c r="AC260" s="7"/>
    </x:row>
    <x:row r="261">
      <x:c r="AC261" s="7"/>
    </x:row>
    <x:row r="262">
      <x:c r="AC262" s="7"/>
    </x:row>
    <x:row r="263">
      <x:c r="AC263" s="7"/>
    </x:row>
    <x:row r="264">
      <x:c r="AC264" s="7"/>
    </x:row>
    <x:row r="265">
      <x:c r="AC265" s="7"/>
    </x:row>
    <x:row r="266">
      <x:c r="AC266" s="7"/>
    </x:row>
    <x:row r="267">
      <x:c r="AC267" s="7"/>
    </x:row>
    <x:row r="268">
      <x:c r="AC268" s="7"/>
    </x:row>
    <x:row r="269">
      <x:c r="AC269" s="7"/>
    </x:row>
    <x:row r="270">
      <x:c r="AC270" s="7"/>
    </x:row>
    <x:row r="271">
      <x:c r="AC271" s="7"/>
    </x:row>
    <x:row r="272">
      <x:c r="AC272" s="7"/>
    </x:row>
    <x:row r="273">
      <x:c r="AC273" s="7"/>
    </x:row>
    <x:row r="274">
      <x:c r="AC274" s="7"/>
    </x:row>
    <x:row r="275">
      <x:c r="AC275" s="7"/>
    </x:row>
    <x:row r="276">
      <x:c r="AC276" s="7"/>
    </x:row>
    <x:row r="277">
      <x:c r="AC277" s="7"/>
    </x:row>
    <x:row r="278">
      <x:c r="AC278" s="7"/>
    </x:row>
    <x:row r="279">
      <x:c r="AC279" s="7"/>
    </x:row>
    <x:row r="280">
      <x:c r="AC280" s="7"/>
    </x:row>
    <x:row r="281">
      <x:c r="AC281" s="7"/>
    </x:row>
    <x:row r="282">
      <x:c r="AC282" s="7"/>
    </x:row>
    <x:row r="283">
      <x:c r="AC283" s="7"/>
    </x:row>
    <x:row r="284">
      <x:c r="AC284" s="7"/>
    </x:row>
    <x:row r="285">
      <x:c r="AC285" s="7"/>
    </x:row>
    <x:row r="286">
      <x:c r="AC286" s="7"/>
    </x:row>
    <x:row r="287">
      <x:c r="AC287" s="7"/>
    </x:row>
    <x:row r="288">
      <x:c r="AC288" s="7"/>
    </x:row>
    <x:row r="289">
      <x:c r="AC289" s="7"/>
    </x:row>
    <x:row r="290">
      <x:c r="AC290" s="7"/>
    </x:row>
    <x:row r="291">
      <x:c r="AC291" s="7"/>
    </x:row>
    <x:row r="292">
      <x:c r="AC292" s="7"/>
    </x:row>
    <x:row r="293">
      <x:c r="AC293" s="7"/>
    </x:row>
    <x:row r="294">
      <x:c r="AC294" s="7"/>
    </x:row>
    <x:row r="295">
      <x:c r="AC295" s="7"/>
    </x:row>
    <x:row r="296">
      <x:c r="AC296" s="7"/>
    </x:row>
    <x:row r="297">
      <x:c r="AC297" s="7"/>
    </x:row>
    <x:row r="298">
      <x:c r="AC298" s="7"/>
    </x:row>
    <x:row r="299">
      <x:c r="AC299" s="7"/>
    </x:row>
    <x:row r="300">
      <x:c r="AC300" s="7"/>
    </x:row>
    <x:row r="301">
      <x:c r="AC301" s="7"/>
    </x:row>
    <x:row r="302">
      <x:c r="AC302" s="7"/>
    </x:row>
    <x:row r="303">
      <x:c r="AC303" s="7"/>
    </x:row>
    <x:row r="304">
      <x:c r="AC304" s="7"/>
    </x:row>
    <x:row r="305">
      <x:c r="AC305" s="7"/>
    </x:row>
    <x:row r="306">
      <x:c r="AC306" s="7"/>
    </x:row>
    <x:row r="307">
      <x:c r="AC307" s="7"/>
    </x:row>
    <x:row r="308">
      <x:c r="AC308" s="7"/>
    </x:row>
    <x:row r="309">
      <x:c r="AC309" s="7"/>
    </x:row>
    <x:row r="310">
      <x:c r="AC310" s="7"/>
    </x:row>
    <x:row r="311">
      <x:c r="AC311" s="7"/>
    </x:row>
    <x:row r="312">
      <x:c r="AC312" s="7"/>
    </x:row>
    <x:row r="313">
      <x:c r="AC313" s="7"/>
    </x:row>
    <x:row r="314">
      <x:c r="AC314" s="7"/>
    </x:row>
    <x:row r="315">
      <x:c r="AC315" s="7"/>
    </x:row>
    <x:row r="316">
      <x:c r="AC316" s="7"/>
    </x:row>
    <x:row r="317">
      <x:c r="AC317" s="7"/>
    </x:row>
    <x:row r="318">
      <x:c r="AC318" s="7"/>
    </x:row>
    <x:row r="319">
      <x:c r="AC319" s="7"/>
    </x:row>
    <x:row r="320">
      <x:c r="AC320" s="7"/>
    </x:row>
    <x:row r="321">
      <x:c r="AC321" s="7"/>
    </x:row>
    <x:row r="322">
      <x:c r="AC322" s="7"/>
    </x:row>
    <x:row r="323">
      <x:c r="AC323" s="7"/>
    </x:row>
    <x:row r="324">
      <x:c r="AC324" s="7"/>
    </x:row>
    <x:row r="325">
      <x:c r="AC325" s="7"/>
    </x:row>
    <x:row r="326">
      <x:c r="AC326" s="7"/>
    </x:row>
    <x:row r="327">
      <x:c r="AC327" s="7"/>
    </x:row>
    <x:row r="328">
      <x:c r="AC328" s="7"/>
    </x:row>
    <x:row r="329">
      <x:c r="AC329" s="7"/>
    </x:row>
    <x:row r="330">
      <x:c r="AC330" s="7"/>
    </x:row>
    <x:row r="331">
      <x:c r="AC331" s="7"/>
    </x:row>
    <x:row r="332">
      <x:c r="AC332" s="7"/>
    </x:row>
    <x:row r="333">
      <x:c r="AC333" s="7"/>
    </x:row>
    <x:row r="334">
      <x:c r="AC334" s="7"/>
    </x:row>
    <x:row r="335">
      <x:c r="AC335" s="7"/>
    </x:row>
    <x:row r="336">
      <x:c r="AC336" s="7"/>
    </x:row>
    <x:row r="337">
      <x:c r="AC337" s="7"/>
    </x:row>
    <x:row r="338">
      <x:c r="AC338" s="7"/>
    </x:row>
    <x:row r="339">
      <x:c r="AC339" s="7"/>
    </x:row>
    <x:row r="340">
      <x:c r="AC340" s="7"/>
    </x:row>
    <x:row r="341">
      <x:c r="AC341" s="7"/>
    </x:row>
    <x:row r="342">
      <x:c r="AC342" s="7"/>
    </x:row>
    <x:row r="343">
      <x:c r="AC343" s="7"/>
    </x:row>
    <x:row r="344">
      <x:c r="AC344" s="7"/>
    </x:row>
    <x:row r="345">
      <x:c r="AC345" s="7"/>
    </x:row>
    <x:row r="346">
      <x:c r="AC346" s="7"/>
    </x:row>
    <x:row r="347">
      <x:c r="AC347" s="7"/>
    </x:row>
    <x:row r="348">
      <x:c r="AC348" s="7"/>
    </x:row>
    <x:row r="349">
      <x:c r="AC349" s="7"/>
    </x:row>
    <x:row r="350">
      <x:c r="AC350" s="7"/>
    </x:row>
    <x:row r="351">
      <x:c r="AC351" s="7"/>
    </x:row>
    <x:row r="352">
      <x:c r="AC352" s="7"/>
    </x:row>
    <x:row r="353">
      <x:c r="AC353" s="7"/>
    </x:row>
    <x:row r="354">
      <x:c r="AC354" s="7"/>
    </x:row>
    <x:row r="355">
      <x:c r="AC355" s="7"/>
    </x:row>
    <x:row r="356">
      <x:c r="AC356" s="7"/>
    </x:row>
    <x:row r="357">
      <x:c r="AC357" s="7"/>
    </x:row>
    <x:row r="358">
      <x:c r="AC358" s="7"/>
    </x:row>
    <x:row r="359">
      <x:c r="AC359" s="7"/>
    </x:row>
    <x:row r="360">
      <x:c r="AC360" s="7"/>
    </x:row>
    <x:row r="361">
      <x:c r="AC361" s="7"/>
    </x:row>
    <x:row r="362">
      <x:c r="AC362" s="7"/>
    </x:row>
    <x:row r="363">
      <x:c r="AC363" s="7"/>
    </x:row>
    <x:row r="364">
      <x:c r="AC364" s="7"/>
    </x:row>
    <x:row r="365">
      <x:c r="AC365" s="7"/>
    </x:row>
    <x:row r="366">
      <x:c r="AC366" s="7"/>
    </x:row>
    <x:row r="367">
      <x:c r="AC367" s="7"/>
    </x:row>
    <x:row r="368">
      <x:c r="AC368" s="7"/>
    </x:row>
    <x:row r="369">
      <x:c r="AC369" s="7"/>
    </x:row>
    <x:row r="370">
      <x:c r="AC370" s="7"/>
    </x:row>
    <x:row r="371">
      <x:c r="AC371" s="7"/>
    </x:row>
    <x:row r="372">
      <x:c r="AC372" s="7"/>
    </x:row>
    <x:row r="373">
      <x:c r="AC373" s="7"/>
    </x:row>
    <x:row r="374">
      <x:c r="AC374" s="7"/>
    </x:row>
    <x:row r="375">
      <x:c r="AC375" s="7"/>
    </x:row>
    <x:row r="376">
      <x:c r="AC376" s="7"/>
    </x:row>
    <x:row r="377">
      <x:c r="AC377" s="7"/>
    </x:row>
    <x:row r="378">
      <x:c r="AC378" s="7"/>
    </x:row>
    <x:row r="379">
      <x:c r="AC379" s="7"/>
    </x:row>
    <x:row r="380">
      <x:c r="AC380" s="7"/>
    </x:row>
    <x:row r="381">
      <x:c r="AC381" s="7"/>
    </x:row>
    <x:row r="382">
      <x:c r="AC382" s="7"/>
    </x:row>
    <x:row r="383">
      <x:c r="AC383" s="7"/>
    </x:row>
    <x:row r="384">
      <x:c r="AC384" s="7"/>
    </x:row>
    <x:row r="385">
      <x:c r="AC385" s="7"/>
    </x:row>
    <x:row r="386">
      <x:c r="AC386" s="7"/>
    </x:row>
    <x:row r="387">
      <x:c r="AC387" s="7"/>
    </x:row>
    <x:row r="388">
      <x:c r="AC388" s="7"/>
    </x:row>
    <x:row r="389">
      <x:c r="AC389" s="7"/>
    </x:row>
    <x:row r="390">
      <x:c r="AC390" s="7"/>
    </x:row>
    <x:row r="391">
      <x:c r="AC391" s="7"/>
    </x:row>
    <x:row r="392">
      <x:c r="AC392" s="7"/>
    </x:row>
    <x:row r="393">
      <x:c r="AC393" s="7"/>
    </x:row>
    <x:row r="394">
      <x:c r="AC394" s="7"/>
    </x:row>
    <x:row r="395">
      <x:c r="AC395" s="7"/>
    </x:row>
    <x:row r="396">
      <x:c r="AC396" s="7"/>
    </x:row>
    <x:row r="397">
      <x:c r="AC397" s="7"/>
    </x:row>
    <x:row r="398">
      <x:c r="AC398" s="7"/>
    </x:row>
    <x:row r="399">
      <x:c r="AC399" s="7"/>
    </x:row>
    <x:row r="400">
      <x:c r="AC400" s="7"/>
    </x:row>
    <x:row r="401">
      <x:c r="AC401" s="7"/>
    </x:row>
    <x:row r="402">
      <x:c r="AC402" s="7"/>
    </x:row>
    <x:row r="403">
      <x:c r="AC403" s="7"/>
    </x:row>
    <x:row r="404">
      <x:c r="AC404" s="7"/>
    </x:row>
    <x:row r="405">
      <x:c r="AC405" s="7"/>
    </x:row>
    <x:row r="406">
      <x:c r="AC406" s="7"/>
    </x:row>
    <x:row r="407">
      <x:c r="AC407" s="7"/>
    </x:row>
    <x:row r="408">
      <x:c r="AC408" s="7"/>
    </x:row>
    <x:row r="409">
      <x:c r="AC409" s="7"/>
    </x:row>
    <x:row r="410">
      <x:c r="AC410" s="7"/>
    </x:row>
    <x:row r="411">
      <x:c r="AC411" s="7"/>
    </x:row>
    <x:row r="412">
      <x:c r="AC412" s="7"/>
    </x:row>
    <x:row r="413">
      <x:c r="AC413" s="7"/>
    </x:row>
    <x:row r="414">
      <x:c r="AC414" s="7"/>
    </x:row>
    <x:row r="415">
      <x:c r="AC415" s="7"/>
    </x:row>
    <x:row r="416">
      <x:c r="AC416" s="7"/>
    </x:row>
    <x:row r="417">
      <x:c r="AC417" s="7"/>
    </x:row>
    <x:row r="418">
      <x:c r="AC418" s="7"/>
    </x:row>
    <x:row r="419">
      <x:c r="AC419" s="7"/>
    </x:row>
    <x:row r="420">
      <x:c r="AC420" s="7"/>
    </x:row>
    <x:row r="421">
      <x:c r="AC421" s="7"/>
    </x:row>
    <x:row r="422">
      <x:c r="AC422" s="7"/>
    </x:row>
    <x:row r="423">
      <x:c r="AC423" s="7"/>
    </x:row>
    <x:row r="424">
      <x:c r="AC424" s="7"/>
    </x:row>
    <x:row r="425">
      <x:c r="AC425" s="7"/>
    </x:row>
    <x:row r="426">
      <x:c r="AC426" s="7"/>
    </x:row>
    <x:row r="427">
      <x:c r="AC427" s="7"/>
    </x:row>
    <x:row r="428">
      <x:c r="AC428" s="7"/>
    </x:row>
    <x:row r="429">
      <x:c r="AC429" s="7"/>
    </x:row>
    <x:row r="430">
      <x:c r="AC430" s="7"/>
    </x:row>
    <x:row r="431">
      <x:c r="AC431" s="7"/>
    </x:row>
    <x:row r="432">
      <x:c r="AC432" s="7"/>
    </x:row>
    <x:row r="433">
      <x:c r="AC433" s="7"/>
    </x:row>
    <x:row r="434">
      <x:c r="AC434" s="7"/>
    </x:row>
    <x:row r="435">
      <x:c r="AC435" s="7"/>
    </x:row>
    <x:row r="436">
      <x:c r="AC436" s="7"/>
    </x:row>
    <x:row r="437">
      <x:c r="AC437" s="7"/>
    </x:row>
    <x:row r="438">
      <x:c r="AC438" s="7"/>
    </x:row>
    <x:row r="439">
      <x:c r="AC439" s="7"/>
    </x:row>
    <x:row r="440">
      <x:c r="AC440" s="7"/>
    </x:row>
    <x:row r="441">
      <x:c r="AC441" s="7"/>
    </x:row>
    <x:row r="442">
      <x:c r="AC442" s="7"/>
    </x:row>
    <x:row r="443">
      <x:c r="AC443" s="7"/>
    </x:row>
    <x:row r="444">
      <x:c r="AC444" s="7"/>
    </x:row>
    <x:row r="445">
      <x:c r="AC445" s="7"/>
    </x:row>
    <x:row r="446">
      <x:c r="AC446" s="7"/>
    </x:row>
    <x:row r="447">
      <x:c r="AC447" s="7"/>
    </x:row>
    <x:row r="448">
      <x:c r="AC448" s="7"/>
    </x:row>
    <x:row r="449">
      <x:c r="AC449" s="7"/>
    </x:row>
    <x:row r="450">
      <x:c r="AC450" s="7"/>
    </x:row>
    <x:row r="451">
      <x:c r="AC451" s="7"/>
    </x:row>
    <x:row r="452">
      <x:c r="AC452" s="7"/>
    </x:row>
    <x:row r="453">
      <x:c r="AC453" s="7"/>
    </x:row>
    <x:row r="454">
      <x:c r="AC454" s="7"/>
    </x:row>
    <x:row r="455">
      <x:c r="AC455" s="7"/>
    </x:row>
    <x:row r="456">
      <x:c r="AC456" s="7"/>
    </x:row>
    <x:row r="457">
      <x:c r="AC457" s="7"/>
    </x:row>
    <x:row r="458">
      <x:c r="AC458" s="7"/>
    </x:row>
    <x:row r="459">
      <x:c r="AC459" s="7"/>
    </x:row>
    <x:row r="460">
      <x:c r="AC460" s="7"/>
    </x:row>
    <x:row r="461">
      <x:c r="AC461" s="7"/>
    </x:row>
    <x:row r="462">
      <x:c r="AC462" s="7"/>
    </x:row>
    <x:row r="463">
      <x:c r="AC463" s="7"/>
    </x:row>
    <x:row r="464">
      <x:c r="AC464" s="7"/>
    </x:row>
    <x:row r="465">
      <x:c r="AC465" s="7"/>
    </x:row>
    <x:row r="466">
      <x:c r="AC466" s="7"/>
    </x:row>
    <x:row r="467">
      <x:c r="AC467" s="7"/>
    </x:row>
    <x:row r="468">
      <x:c r="AC468" s="7"/>
    </x:row>
    <x:row r="469">
      <x:c r="AC469" s="7"/>
    </x:row>
    <x:row r="470">
      <x:c r="AC470" s="7"/>
    </x:row>
    <x:row r="471">
      <x:c r="AC471" s="7"/>
    </x:row>
    <x:row r="472">
      <x:c r="AC472" s="7"/>
    </x:row>
    <x:row r="473">
      <x:c r="AC473" s="7"/>
    </x:row>
    <x:row r="474">
      <x:c r="AC474" s="7"/>
    </x:row>
    <x:row r="475">
      <x:c r="AC475" s="7"/>
    </x:row>
    <x:row r="476">
      <x:c r="AC476" s="7"/>
    </x:row>
    <x:row r="477">
      <x:c r="AC477" s="7"/>
    </x:row>
    <x:row r="478">
      <x:c r="AC478" s="7"/>
    </x:row>
    <x:row r="479">
      <x:c r="AC479" s="7"/>
    </x:row>
    <x:row r="480">
      <x:c r="AC480" s="7"/>
    </x:row>
    <x:row r="481">
      <x:c r="AC481" s="7"/>
    </x:row>
    <x:row r="482">
      <x:c r="AC482" s="7"/>
    </x:row>
    <x:row r="483">
      <x:c r="AC483" s="7"/>
    </x:row>
    <x:row r="484">
      <x:c r="AC484" s="7"/>
    </x:row>
    <x:row r="485">
      <x:c r="AC485" s="7"/>
    </x:row>
    <x:row r="486">
      <x:c r="AC486" s="7"/>
    </x:row>
    <x:row r="487">
      <x:c r="AC487" s="7"/>
    </x:row>
    <x:row r="488">
      <x:c r="AC488" s="7"/>
    </x:row>
    <x:row r="489">
      <x:c r="AC489" s="7"/>
    </x:row>
    <x:row r="490">
      <x:c r="AC490" s="7"/>
    </x:row>
    <x:row r="491">
      <x:c r="AC491" s="7"/>
    </x:row>
    <x:row r="492">
      <x:c r="AC492" s="7"/>
    </x:row>
    <x:row r="493">
      <x:c r="AC493" s="7"/>
    </x:row>
    <x:row r="494">
      <x:c r="AC494" s="7"/>
    </x:row>
    <x:row r="495">
      <x:c r="AC495" s="7"/>
    </x:row>
    <x:row r="496">
      <x:c r="AC496" s="7"/>
    </x:row>
    <x:row r="497">
      <x:c r="AC497" s="7"/>
    </x:row>
    <x:row r="498">
      <x:c r="AC498" s="7"/>
    </x:row>
    <x:row r="499">
      <x:c r="AC499" s="7"/>
    </x:row>
    <x:row r="500">
      <x:c r="AC500" s="7"/>
    </x:row>
    <x:row r="501">
      <x:c r="AC501" s="7"/>
    </x:row>
    <x:row r="502">
      <x:c r="AC502" s="7"/>
    </x:row>
    <x:row r="503">
      <x:c r="AC503" s="7"/>
    </x:row>
    <x:row r="504">
      <x:c r="AC504" s="7"/>
    </x:row>
    <x:row r="505">
      <x:c r="AC505" s="7"/>
    </x:row>
    <x:row r="506">
      <x:c r="AC506" s="7"/>
    </x:row>
    <x:row r="507">
      <x:c r="AC507" s="7"/>
    </x:row>
    <x:row r="508">
      <x:c r="AC508" s="7"/>
    </x:row>
    <x:row r="509">
      <x:c r="AC509" s="7"/>
    </x:row>
    <x:row r="510">
      <x:c r="AC510" s="7"/>
    </x:row>
    <x:row r="511">
      <x:c r="AC511" s="7"/>
    </x:row>
    <x:row r="512">
      <x:c r="AC512" s="7"/>
    </x:row>
    <x:row r="513">
      <x:c r="AC513" s="7"/>
    </x:row>
    <x:row r="514">
      <x:c r="AC514" s="7"/>
    </x:row>
    <x:row r="515">
      <x:c r="AC515" s="7"/>
    </x:row>
    <x:row r="516">
      <x:c r="AC516" s="7"/>
    </x:row>
    <x:row r="517">
      <x:c r="AC517" s="7"/>
    </x:row>
    <x:row r="518">
      <x:c r="AC518" s="7"/>
    </x:row>
    <x:row r="519">
      <x:c r="AC519" s="7"/>
    </x:row>
    <x:row r="520">
      <x:c r="AC520" s="7"/>
    </x:row>
    <x:row r="521">
      <x:c r="AC521" s="7"/>
    </x:row>
    <x:row r="522">
      <x:c r="AC522" s="7"/>
    </x:row>
    <x:row r="523">
      <x:c r="AC523" s="7"/>
    </x:row>
    <x:row r="524">
      <x:c r="AC524" s="7"/>
    </x:row>
    <x:row r="525">
      <x:c r="AC525" s="7"/>
    </x:row>
    <x:row r="526">
      <x:c r="AC526" s="7"/>
    </x:row>
    <x:row r="527">
      <x:c r="AC527" s="7"/>
    </x:row>
    <x:row r="528">
      <x:c r="AC528" s="7"/>
    </x:row>
    <x:row r="529">
      <x:c r="AC529" s="7"/>
    </x:row>
    <x:row r="530">
      <x:c r="AC530" s="7"/>
    </x:row>
    <x:row r="531">
      <x:c r="AC531" s="7"/>
    </x:row>
    <x:row r="532">
      <x:c r="AC532" s="7"/>
    </x:row>
    <x:row r="533">
      <x:c r="AC533" s="7"/>
    </x:row>
    <x:row r="534">
      <x:c r="AC534" s="7"/>
    </x:row>
    <x:row r="535">
      <x:c r="AC535" s="7"/>
    </x:row>
    <x:row r="536">
      <x:c r="AC536" s="7"/>
    </x:row>
    <x:row r="537">
      <x:c r="AC537" s="7"/>
    </x:row>
    <x:row r="538">
      <x:c r="AC538" s="7"/>
    </x:row>
    <x:row r="539">
      <x:c r="AC539" s="7"/>
    </x:row>
    <x:row r="540">
      <x:c r="AC540" s="7"/>
    </x:row>
    <x:row r="541">
      <x:c r="AC541" s="7"/>
    </x:row>
    <x:row r="542">
      <x:c r="AC542" s="7"/>
    </x:row>
    <x:row r="543">
      <x:c r="AC543" s="7"/>
    </x:row>
    <x:row r="544">
      <x:c r="AC544" s="7"/>
    </x:row>
    <x:row r="545">
      <x:c r="AC545" s="7"/>
    </x:row>
    <x:row r="546">
      <x:c r="AC546" s="7"/>
    </x:row>
    <x:row r="547">
      <x:c r="AC547" s="7"/>
    </x:row>
    <x:row r="548">
      <x:c r="AC548" s="7"/>
    </x:row>
    <x:row r="549">
      <x:c r="AC549" s="7"/>
    </x:row>
    <x:row r="550">
      <x:c r="AC550" s="7"/>
    </x:row>
    <x:row r="551">
      <x:c r="AC551" s="7"/>
    </x:row>
    <x:row r="552">
      <x:c r="AC552" s="7"/>
    </x:row>
    <x:row r="553">
      <x:c r="AC553" s="7"/>
    </x:row>
    <x:row r="554">
      <x:c r="AC554" s="7"/>
    </x:row>
    <x:row r="555">
      <x:c r="AC555" s="7"/>
    </x:row>
    <x:row r="556">
      <x:c r="AC556" s="7"/>
    </x:row>
    <x:row r="557">
      <x:c r="AC557" s="7"/>
    </x:row>
    <x:row r="558">
      <x:c r="AC558" s="7"/>
    </x:row>
    <x:row r="559">
      <x:c r="AC559" s="7"/>
    </x:row>
    <x:row r="560">
      <x:c r="AC560" s="7"/>
    </x:row>
    <x:row r="561">
      <x:c r="AC561" s="7"/>
    </x:row>
    <x:row r="562">
      <x:c r="AC562" s="7"/>
    </x:row>
    <x:row r="563">
      <x:c r="AC563" s="7"/>
    </x:row>
    <x:row r="564">
      <x:c r="AC564" s="7"/>
    </x:row>
    <x:row r="565">
      <x:c r="AC565" s="7"/>
    </x:row>
    <x:row r="566">
      <x:c r="AC566" s="7"/>
    </x:row>
    <x:row r="567">
      <x:c r="AC567" s="7"/>
    </x:row>
    <x:row r="568">
      <x:c r="AC568" s="7"/>
    </x:row>
    <x:row r="569">
      <x:c r="AC569" s="7"/>
    </x:row>
    <x:row r="570">
      <x:c r="AC570" s="7"/>
    </x:row>
    <x:row r="571">
      <x:c r="AC571" s="7"/>
    </x:row>
    <x:row r="572">
      <x:c r="AC572" s="7"/>
    </x:row>
    <x:row r="573">
      <x:c r="AC573" s="7"/>
    </x:row>
    <x:row r="574">
      <x:c r="AC574" s="7"/>
    </x:row>
    <x:row r="575">
      <x:c r="AC575" s="7"/>
    </x:row>
    <x:row r="576">
      <x:c r="AC576" s="7"/>
    </x:row>
    <x:row r="577">
      <x:c r="AC577" s="7"/>
    </x:row>
    <x:row r="578">
      <x:c r="AC578" s="7"/>
    </x:row>
    <x:row r="579">
      <x:c r="AC579" s="7"/>
    </x:row>
    <x:row r="580">
      <x:c r="AC580" s="7"/>
    </x:row>
    <x:row r="581">
      <x:c r="AC581" s="7"/>
    </x:row>
    <x:row r="582">
      <x:c r="AC582" s="7"/>
    </x:row>
    <x:row r="583">
      <x:c r="AC583" s="7"/>
    </x:row>
    <x:row r="584">
      <x:c r="AC584" s="7"/>
    </x:row>
    <x:row r="585">
      <x:c r="AC585" s="7"/>
    </x:row>
    <x:row r="586">
      <x:c r="AC586" s="7"/>
    </x:row>
    <x:row r="587">
      <x:c r="AC587" s="7"/>
    </x:row>
    <x:row r="588">
      <x:c r="AC588" s="7"/>
    </x:row>
    <x:row r="589">
      <x:c r="AC589" s="7"/>
    </x:row>
    <x:row r="590">
      <x:c r="AC590" s="7"/>
    </x:row>
    <x:row r="591">
      <x:c r="AC591" s="7"/>
    </x:row>
    <x:row r="592">
      <x:c r="AC592" s="7"/>
    </x:row>
    <x:row r="593">
      <x:c r="AC593" s="7"/>
    </x:row>
    <x:row r="594">
      <x:c r="AC594" s="7"/>
    </x:row>
    <x:row r="595">
      <x:c r="AC595" s="7"/>
    </x:row>
    <x:row r="596">
      <x:c r="AC596" s="7"/>
    </x:row>
    <x:row r="597">
      <x:c r="AC597" s="7"/>
    </x:row>
    <x:row r="598">
      <x:c r="AC598" s="7"/>
    </x:row>
    <x:row r="599">
      <x:c r="AC599" s="7"/>
    </x:row>
    <x:row r="600">
      <x:c r="AC600" s="7"/>
    </x:row>
    <x:row r="601">
      <x:c r="AC601" s="7"/>
    </x:row>
    <x:row r="602">
      <x:c r="AC602" s="7"/>
    </x:row>
    <x:row r="603">
      <x:c r="AC603" s="7"/>
    </x:row>
    <x:row r="604">
      <x:c r="AC604" s="7"/>
    </x:row>
    <x:row r="605">
      <x:c r="AC605" s="7"/>
    </x:row>
    <x:row r="606">
      <x:c r="AC606" s="7"/>
    </x:row>
    <x:row r="607">
      <x:c r="AC607" s="7"/>
    </x:row>
    <x:row r="608">
      <x:c r="AC608" s="7"/>
    </x:row>
    <x:row r="609">
      <x:c r="AC609" s="7"/>
    </x:row>
    <x:row r="610">
      <x:c r="AC610" s="7"/>
    </x:row>
    <x:row r="611">
      <x:c r="AC611" s="7"/>
    </x:row>
    <x:row r="612">
      <x:c r="AC612" s="7"/>
    </x:row>
    <x:row r="613">
      <x:c r="AC613" s="7"/>
    </x:row>
    <x:row r="614">
      <x:c r="AC614" s="7"/>
    </x:row>
    <x:row r="615">
      <x:c r="AC615" s="7"/>
    </x:row>
    <x:row r="616">
      <x:c r="AC616" s="7"/>
    </x:row>
    <x:row r="617">
      <x:c r="AC617" s="7"/>
    </x:row>
    <x:row r="618">
      <x:c r="AC618" s="7"/>
    </x:row>
    <x:row r="619">
      <x:c r="AC619" s="7"/>
    </x:row>
    <x:row r="620">
      <x:c r="AC620" s="7"/>
    </x:row>
    <x:row r="621">
      <x:c r="AC621" s="7"/>
    </x:row>
    <x:row r="622">
      <x:c r="AC622" s="7"/>
    </x:row>
    <x:row r="623">
      <x:c r="AC623" s="7"/>
    </x:row>
    <x:row r="624">
      <x:c r="AC624" s="7"/>
    </x:row>
    <x:row r="625">
      <x:c r="AC625" s="7"/>
    </x:row>
    <x:row r="626">
      <x:c r="AC626" s="7"/>
    </x:row>
    <x:row r="627">
      <x:c r="AC627" s="7"/>
    </x:row>
    <x:row r="628">
      <x:c r="AC628" s="7"/>
    </x:row>
    <x:row r="629">
      <x:c r="AC629" s="7"/>
    </x:row>
    <x:row r="630">
      <x:c r="AC630" s="7"/>
    </x:row>
    <x:row r="631">
      <x:c r="AC631" s="7"/>
    </x:row>
    <x:row r="632">
      <x:c r="AC632" s="7"/>
    </x:row>
    <x:row r="633">
      <x:c r="AC633" s="7"/>
    </x:row>
    <x:row r="634">
      <x:c r="AC634" s="7"/>
    </x:row>
    <x:row r="635">
      <x:c r="AC635" s="7"/>
    </x:row>
    <x:row r="636">
      <x:c r="AC636" s="7"/>
    </x:row>
    <x:row r="637">
      <x:c r="AC637" s="7"/>
    </x:row>
    <x:row r="638">
      <x:c r="AC638" s="7"/>
    </x:row>
    <x:row r="639">
      <x:c r="AC639" s="7"/>
    </x:row>
    <x:row r="640">
      <x:c r="AC640" s="7"/>
    </x:row>
    <x:row r="641">
      <x:c r="AC641" s="7"/>
    </x:row>
    <x:row r="642">
      <x:c r="AC642" s="7"/>
    </x:row>
    <x:row r="643">
      <x:c r="AC643" s="7"/>
    </x:row>
    <x:row r="644">
      <x:c r="AC644" s="7"/>
    </x:row>
    <x:row r="645">
      <x:c r="AC645" s="7"/>
    </x:row>
    <x:row r="646">
      <x:c r="AC646" s="7"/>
    </x:row>
    <x:row r="647">
      <x:c r="AC647" s="7"/>
    </x:row>
    <x:row r="648">
      <x:c r="AC648" s="7"/>
    </x:row>
    <x:row r="649">
      <x:c r="AC649" s="7"/>
    </x:row>
    <x:row r="650">
      <x:c r="AC650" s="7"/>
    </x:row>
    <x:row r="651">
      <x:c r="AC651" s="7"/>
    </x:row>
    <x:row r="652">
      <x:c r="AC652" s="7"/>
    </x:row>
    <x:row r="653">
      <x:c r="AC653" s="7"/>
    </x:row>
    <x:row r="654">
      <x:c r="AC654" s="7"/>
    </x:row>
    <x:row r="655">
      <x:c r="AC655" s="7"/>
    </x:row>
    <x:row r="656">
      <x:c r="AC656" s="7"/>
    </x:row>
    <x:row r="657">
      <x:c r="AC657" s="7"/>
    </x:row>
    <x:row r="658">
      <x:c r="AC658" s="7"/>
    </x:row>
    <x:row r="659">
      <x:c r="AC659" s="7"/>
    </x:row>
    <x:row r="660">
      <x:c r="AC660" s="7"/>
    </x:row>
    <x:row r="661">
      <x:c r="AC661" s="7"/>
    </x:row>
    <x:row r="662">
      <x:c r="AC662" s="7"/>
    </x:row>
    <x:row r="663">
      <x:c r="AC663" s="7"/>
    </x:row>
    <x:row r="664">
      <x:c r="AC664" s="7"/>
    </x:row>
    <x:row r="665">
      <x:c r="AC665" s="7"/>
    </x:row>
    <x:row r="666">
      <x:c r="AC666" s="7"/>
    </x:row>
    <x:row r="667">
      <x:c r="AC667" s="7"/>
    </x:row>
    <x:row r="668">
      <x:c r="AC668" s="7"/>
    </x:row>
    <x:row r="669">
      <x:c r="AC669" s="7"/>
    </x:row>
    <x:row r="670">
      <x:c r="AC670" s="7"/>
    </x:row>
    <x:row r="671">
      <x:c r="AC671" s="7"/>
    </x:row>
    <x:row r="672">
      <x:c r="AC672" s="7"/>
    </x:row>
    <x:row r="673">
      <x:c r="AC673" s="7"/>
    </x:row>
    <x:row r="674">
      <x:c r="AC674" s="7"/>
    </x:row>
    <x:row r="675">
      <x:c r="AC675" s="7"/>
    </x:row>
    <x:row r="676">
      <x:c r="AC676" s="7"/>
    </x:row>
    <x:row r="677">
      <x:c r="AC677" s="7"/>
    </x:row>
    <x:row r="678">
      <x:c r="AC678" s="7"/>
    </x:row>
    <x:row r="679">
      <x:c r="AC679" s="7"/>
    </x:row>
    <x:row r="680">
      <x:c r="AC680" s="7"/>
    </x:row>
    <x:row r="681">
      <x:c r="AC681" s="7"/>
    </x:row>
    <x:row r="682">
      <x:c r="AC682" s="7"/>
    </x:row>
    <x:row r="683">
      <x:c r="AC683" s="7"/>
    </x:row>
    <x:row r="684">
      <x:c r="AC684" s="7"/>
    </x:row>
    <x:row r="685">
      <x:c r="AC685" s="7"/>
    </x:row>
    <x:row r="686">
      <x:c r="AC686" s="7"/>
    </x:row>
    <x:row r="687">
      <x:c r="AC687" s="7"/>
    </x:row>
    <x:row r="688">
      <x:c r="AC688" s="7"/>
    </x:row>
    <x:row r="689">
      <x:c r="AC689" s="7"/>
    </x:row>
    <x:row r="690">
      <x:c r="AC690" s="7"/>
    </x:row>
    <x:row r="691">
      <x:c r="AC691" s="7"/>
    </x:row>
    <x:row r="692">
      <x:c r="AC692" s="7"/>
    </x:row>
    <x:row r="693">
      <x:c r="AC693" s="7"/>
    </x:row>
    <x:row r="694">
      <x:c r="AC694" s="7"/>
    </x:row>
    <x:row r="695">
      <x:c r="AC695" s="7"/>
    </x:row>
    <x:row r="696">
      <x:c r="AC696" s="7"/>
    </x:row>
    <x:row r="697">
      <x:c r="AC697" s="7"/>
    </x:row>
    <x:row r="698">
      <x:c r="AC698" s="7"/>
    </x:row>
    <x:row r="699">
      <x:c r="AC699" s="7"/>
    </x:row>
    <x:row r="700">
      <x:c r="AC700" s="7"/>
    </x:row>
    <x:row r="701">
      <x:c r="AC701" s="7"/>
    </x:row>
    <x:row r="702">
      <x:c r="AC702" s="7"/>
    </x:row>
    <x:row r="703">
      <x:c r="AC703" s="7"/>
    </x:row>
    <x:row r="704">
      <x:c r="AC704" s="7"/>
    </x:row>
    <x:row r="705">
      <x:c r="AC705" s="7"/>
    </x:row>
    <x:row r="706">
      <x:c r="AC706" s="7"/>
    </x:row>
    <x:row r="707">
      <x:c r="AC707" s="7"/>
    </x:row>
    <x:row r="708">
      <x:c r="AC708" s="7"/>
    </x:row>
    <x:row r="709">
      <x:c r="AC709" s="7"/>
    </x:row>
    <x:row r="710">
      <x:c r="AC710" s="7"/>
    </x:row>
    <x:row r="711">
      <x:c r="AC711" s="7"/>
    </x:row>
    <x:row r="712">
      <x:c r="AC712" s="7"/>
    </x:row>
    <x:row r="713">
      <x:c r="AC713" s="7"/>
    </x:row>
    <x:row r="714">
      <x:c r="AC714" s="7"/>
    </x:row>
    <x:row r="715">
      <x:c r="AC715" s="7"/>
    </x:row>
    <x:row r="716">
      <x:c r="AC716" s="7"/>
    </x:row>
    <x:row r="717">
      <x:c r="AC717" s="7"/>
    </x:row>
    <x:row r="718">
      <x:c r="AC718" s="7"/>
    </x:row>
    <x:row r="719">
      <x:c r="AC719" s="7"/>
    </x:row>
    <x:row r="720">
      <x:c r="AC720" s="7"/>
    </x:row>
    <x:row r="721">
      <x:c r="AC721" s="7"/>
    </x:row>
    <x:row r="722">
      <x:c r="AC722" s="7"/>
    </x:row>
    <x:row r="723">
      <x:c r="AC723" s="7"/>
    </x:row>
    <x:row r="724">
      <x:c r="AC724" s="7"/>
    </x:row>
    <x:row r="725">
      <x:c r="AC725" s="7"/>
    </x:row>
    <x:row r="726">
      <x:c r="AC726" s="7"/>
    </x:row>
    <x:row r="727">
      <x:c r="AC727" s="7"/>
    </x:row>
    <x:row r="728">
      <x:c r="AC728" s="7"/>
    </x:row>
    <x:row r="729">
      <x:c r="AC729" s="7"/>
    </x:row>
    <x:row r="730">
      <x:c r="AC730" s="7"/>
    </x:row>
    <x:row r="731">
      <x:c r="AC731" s="7"/>
    </x:row>
    <x:row r="732">
      <x:c r="AC732" s="7"/>
    </x:row>
    <x:row r="733">
      <x:c r="AC733" s="7"/>
    </x:row>
    <x:row r="734">
      <x:c r="AC734" s="7"/>
    </x:row>
    <x:row r="735">
      <x:c r="AC735" s="7"/>
    </x:row>
    <x:row r="736">
      <x:c r="AC736" s="7"/>
    </x:row>
    <x:row r="737">
      <x:c r="AC737" s="7"/>
    </x:row>
    <x:row r="738">
      <x:c r="AC738" s="7"/>
    </x:row>
    <x:row r="739">
      <x:c r="AC739" s="7"/>
    </x:row>
    <x:row r="740">
      <x:c r="AC740" s="7"/>
    </x:row>
    <x:row r="741">
      <x:c r="AC741" s="7"/>
    </x:row>
    <x:row r="742">
      <x:c r="AC742" s="7"/>
    </x:row>
    <x:row r="743">
      <x:c r="AC743" s="7"/>
    </x:row>
    <x:row r="744">
      <x:c r="AC744" s="7"/>
    </x:row>
    <x:row r="745">
      <x:c r="AC745" s="7"/>
    </x:row>
    <x:row r="746">
      <x:c r="AC746" s="7"/>
    </x:row>
    <x:row r="747">
      <x:c r="AC747" s="7"/>
    </x:row>
    <x:row r="748">
      <x:c r="AC748" s="7"/>
    </x:row>
    <x:row r="749">
      <x:c r="AC749" s="7"/>
    </x:row>
    <x:row r="750">
      <x:c r="AC750" s="7"/>
    </x:row>
    <x:row r="751">
      <x:c r="AC751" s="7"/>
    </x:row>
    <x:row r="752">
      <x:c r="AC752" s="7"/>
    </x:row>
    <x:row r="753">
      <x:c r="AC753" s="7"/>
    </x:row>
    <x:row r="754">
      <x:c r="AC754" s="7"/>
    </x:row>
    <x:row r="755">
      <x:c r="AC755" s="7"/>
    </x:row>
    <x:row r="756">
      <x:c r="AC756" s="7"/>
    </x:row>
    <x:row r="757">
      <x:c r="AC757" s="7"/>
    </x:row>
    <x:row r="758">
      <x:c r="AC758" s="7"/>
    </x:row>
    <x:row r="759">
      <x:c r="AC759" s="7"/>
    </x:row>
    <x:row r="760">
      <x:c r="AC760" s="7"/>
    </x:row>
    <x:row r="761">
      <x:c r="AC761" s="7"/>
    </x:row>
    <x:row r="762">
      <x:c r="AC762" s="7"/>
    </x:row>
    <x:row r="763">
      <x:c r="AC763" s="7"/>
    </x:row>
    <x:row r="764">
      <x:c r="AC764" s="7"/>
    </x:row>
    <x:row r="765">
      <x:c r="AC765" s="7"/>
    </x:row>
    <x:row r="766">
      <x:c r="AC766" s="7"/>
    </x:row>
    <x:row r="767">
      <x:c r="AC767" s="7"/>
    </x:row>
    <x:row r="768">
      <x:c r="AC768" s="7"/>
    </x:row>
    <x:row r="769">
      <x:c r="AC769" s="7"/>
    </x:row>
    <x:row r="770">
      <x:c r="AC770" s="7"/>
    </x:row>
    <x:row r="771">
      <x:c r="AC771" s="7"/>
    </x:row>
    <x:row r="772">
      <x:c r="AC772" s="7"/>
    </x:row>
    <x:row r="773">
      <x:c r="AC773" s="7"/>
    </x:row>
    <x:row r="774">
      <x:c r="AC774" s="7"/>
    </x:row>
    <x:row r="775">
      <x:c r="AC775" s="7"/>
    </x:row>
    <x:row r="776">
      <x:c r="AC776" s="7"/>
    </x:row>
    <x:row r="777">
      <x:c r="AC777" s="7"/>
    </x:row>
    <x:row r="778">
      <x:c r="AC778" s="7"/>
    </x:row>
    <x:row r="779">
      <x:c r="AC779" s="7"/>
    </x:row>
    <x:row r="780">
      <x:c r="AC780" s="7"/>
    </x:row>
    <x:row r="781">
      <x:c r="AC781" s="7"/>
    </x:row>
    <x:row r="782">
      <x:c r="AC782" s="7"/>
    </x:row>
    <x:row r="783">
      <x:c r="AC783" s="7"/>
    </x:row>
    <x:row r="784">
      <x:c r="AC784" s="7"/>
    </x:row>
    <x:row r="785">
      <x:c r="AC785" s="7"/>
    </x:row>
    <x:row r="786">
      <x:c r="AC786" s="7"/>
    </x:row>
    <x:row r="787">
      <x:c r="AC787" s="7"/>
    </x:row>
    <x:row r="788">
      <x:c r="AC788" s="7"/>
    </x:row>
    <x:row r="789">
      <x:c r="AC789" s="7"/>
    </x:row>
    <x:row r="790">
      <x:c r="AC790" s="7"/>
    </x:row>
    <x:row r="791">
      <x:c r="AC791" s="7"/>
    </x:row>
    <x:row r="792">
      <x:c r="AC792" s="7"/>
    </x:row>
    <x:row r="793">
      <x:c r="AC793" s="7"/>
    </x:row>
    <x:row r="794">
      <x:c r="AC794" s="7"/>
    </x:row>
    <x:row r="795">
      <x:c r="AC795" s="7"/>
    </x:row>
    <x:row r="796">
      <x:c r="AC796" s="7"/>
    </x:row>
    <x:row r="797">
      <x:c r="AC797" s="7"/>
    </x:row>
    <x:row r="798">
      <x:c r="AC798" s="7"/>
    </x:row>
    <x:row r="799">
      <x:c r="AC799" s="7"/>
    </x:row>
    <x:row r="800">
      <x:c r="AC800" s="7"/>
    </x:row>
    <x:row r="801">
      <x:c r="AC801" s="7"/>
    </x:row>
    <x:row r="802">
      <x:c r="AC802" s="7"/>
    </x:row>
    <x:row r="803">
      <x:c r="AC803" s="7"/>
    </x:row>
    <x:row r="804">
      <x:c r="AC804" s="7"/>
    </x:row>
    <x:row r="805">
      <x:c r="AC805" s="7"/>
    </x:row>
    <x:row r="806">
      <x:c r="AC806" s="7"/>
    </x:row>
    <x:row r="807">
      <x:c r="AC807" s="7"/>
    </x:row>
    <x:row r="808">
      <x:c r="AC808" s="7"/>
    </x:row>
    <x:row r="809">
      <x:c r="AC809" s="7"/>
    </x:row>
    <x:row r="810">
      <x:c r="AC810" s="7"/>
    </x:row>
    <x:row r="811">
      <x:c r="AC811" s="7"/>
    </x:row>
    <x:row r="812">
      <x:c r="AC812" s="7"/>
    </x:row>
    <x:row r="813">
      <x:c r="AC813" s="7"/>
    </x:row>
    <x:row r="814">
      <x:c r="AC814" s="7"/>
    </x:row>
    <x:row r="815">
      <x:c r="AC815" s="7"/>
    </x:row>
    <x:row r="816">
      <x:c r="AC816" s="7"/>
    </x:row>
    <x:row r="817">
      <x:c r="AC817" s="7"/>
    </x:row>
    <x:row r="818">
      <x:c r="AC818" s="7"/>
    </x:row>
    <x:row r="819">
      <x:c r="AC819" s="7"/>
    </x:row>
    <x:row r="820">
      <x:c r="AC820" s="7"/>
    </x:row>
    <x:row r="821">
      <x:c r="AC821" s="7"/>
    </x:row>
    <x:row r="822">
      <x:c r="AC822" s="7"/>
    </x:row>
    <x:row r="823">
      <x:c r="AC823" s="7"/>
    </x:row>
    <x:row r="824">
      <x:c r="AC824" s="7"/>
    </x:row>
    <x:row r="825">
      <x:c r="AC825" s="7"/>
    </x:row>
    <x:row r="826">
      <x:c r="AC826" s="7"/>
    </x:row>
    <x:row r="827">
      <x:c r="AC827" s="7"/>
    </x:row>
    <x:row r="828">
      <x:c r="AC828" s="7"/>
    </x:row>
    <x:row r="829">
      <x:c r="AC829" s="7"/>
    </x:row>
    <x:row r="830">
      <x:c r="AC830" s="7"/>
    </x:row>
    <x:row r="831">
      <x:c r="AC831" s="7"/>
    </x:row>
    <x:row r="832">
      <x:c r="AC832" s="7"/>
    </x:row>
    <x:row r="833">
      <x:c r="AC833" s="7"/>
    </x:row>
    <x:row r="834">
      <x:c r="AC834" s="7"/>
    </x:row>
    <x:row r="835">
      <x:c r="AC835" s="7"/>
    </x:row>
    <x:row r="836">
      <x:c r="AC836" s="7"/>
    </x:row>
    <x:row r="837">
      <x:c r="AC837" s="7"/>
    </x:row>
    <x:row r="838">
      <x:c r="AC838" s="7"/>
    </x:row>
    <x:row r="839">
      <x:c r="AC839" s="7"/>
    </x:row>
    <x:row r="840">
      <x:c r="AC840" s="7"/>
    </x:row>
    <x:row r="841">
      <x:c r="AC841" s="7"/>
    </x:row>
    <x:row r="842">
      <x:c r="AC842" s="7"/>
    </x:row>
    <x:row r="843">
      <x:c r="AC843" s="7"/>
    </x:row>
    <x:row r="844">
      <x:c r="AC844" s="7"/>
    </x:row>
    <x:row r="845">
      <x:c r="AC845" s="7"/>
    </x:row>
    <x:row r="846">
      <x:c r="AC846" s="7"/>
    </x:row>
    <x:row r="847">
      <x:c r="AC847" s="7"/>
    </x:row>
    <x:row r="848">
      <x:c r="AC848" s="7"/>
    </x:row>
    <x:row r="849">
      <x:c r="AC849" s="7"/>
    </x:row>
    <x:row r="850">
      <x:c r="AC850" s="7"/>
    </x:row>
    <x:row r="851">
      <x:c r="AC851" s="7"/>
    </x:row>
    <x:row r="852">
      <x:c r="AC852" s="7"/>
    </x:row>
    <x:row r="853">
      <x:c r="AC853" s="7"/>
    </x:row>
    <x:row r="854">
      <x:c r="AC854" s="7"/>
    </x:row>
    <x:row r="855">
      <x:c r="AC855" s="7"/>
    </x:row>
    <x:row r="856">
      <x:c r="AC856" s="7"/>
    </x:row>
    <x:row r="857">
      <x:c r="AC857" s="7"/>
    </x:row>
    <x:row r="858">
      <x:c r="AC858" s="7"/>
    </x:row>
    <x:row r="859">
      <x:c r="AC859" s="7"/>
    </x:row>
    <x:row r="860">
      <x:c r="AC860" s="7"/>
    </x:row>
    <x:row r="861">
      <x:c r="AC861" s="7"/>
    </x:row>
    <x:row r="862">
      <x:c r="AC862" s="7"/>
    </x:row>
    <x:row r="863">
      <x:c r="AC863" s="7"/>
    </x:row>
    <x:row r="864">
      <x:c r="AC864" s="7"/>
    </x:row>
    <x:row r="865">
      <x:c r="AC865" s="7"/>
    </x:row>
    <x:row r="866">
      <x:c r="AC866" s="7"/>
    </x:row>
    <x:row r="867">
      <x:c r="AC867" s="7"/>
    </x:row>
    <x:row r="868">
      <x:c r="AC868" s="7"/>
    </x:row>
    <x:row r="869">
      <x:c r="AC869" s="7"/>
    </x:row>
    <x:row r="870">
      <x:c r="AC870" s="7"/>
    </x:row>
    <x:row r="871">
      <x:c r="AC871" s="7"/>
    </x:row>
    <x:row r="872">
      <x:c r="AC872" s="7"/>
    </x:row>
    <x:row r="873">
      <x:c r="AC873" s="7"/>
    </x:row>
    <x:row r="874">
      <x:c r="AC874" s="7"/>
    </x:row>
    <x:row r="875">
      <x:c r="AC875" s="7"/>
    </x:row>
    <x:row r="876">
      <x:c r="AC876" s="7"/>
    </x:row>
    <x:row r="877">
      <x:c r="AC877" s="7"/>
    </x:row>
    <x:row r="878">
      <x:c r="AC878" s="7"/>
    </x:row>
    <x:row r="879">
      <x:c r="AC879" s="7"/>
    </x:row>
    <x:row r="880">
      <x:c r="AC880" s="7"/>
    </x:row>
    <x:row r="881">
      <x:c r="AC881" s="7"/>
    </x:row>
    <x:row r="882">
      <x:c r="AC882" s="7"/>
    </x:row>
    <x:row r="883">
      <x:c r="AC883" s="7"/>
    </x:row>
    <x:row r="884">
      <x:c r="AC884" s="7"/>
    </x:row>
    <x:row r="885">
      <x:c r="AC885" s="7"/>
    </x:row>
    <x:row r="886">
      <x:c r="AC886" s="7"/>
    </x:row>
    <x:row r="887">
      <x:c r="AC887" s="7"/>
    </x:row>
    <x:row r="888">
      <x:c r="AC888" s="7"/>
    </x:row>
    <x:row r="889">
      <x:c r="AC889" s="7"/>
    </x:row>
    <x:row r="890">
      <x:c r="AC890" s="7"/>
    </x:row>
    <x:row r="891">
      <x:c r="AC891" s="7"/>
    </x:row>
    <x:row r="892">
      <x:c r="AC892" s="7"/>
    </x:row>
    <x:row r="893">
      <x:c r="AC893" s="7"/>
    </x:row>
    <x:row r="894">
      <x:c r="AC894" s="7"/>
    </x:row>
    <x:row r="895">
      <x:c r="AC895" s="7"/>
    </x:row>
    <x:row r="896">
      <x:c r="AC896" s="7"/>
    </x:row>
    <x:row r="897">
      <x:c r="AC897" s="7"/>
    </x:row>
    <x:row r="898">
      <x:c r="AC898" s="7"/>
    </x:row>
    <x:row r="899">
      <x:c r="AC899" s="7"/>
    </x:row>
    <x:row r="900">
      <x:c r="AC900" s="7"/>
    </x:row>
    <x:row r="901">
      <x:c r="AC901" s="7"/>
    </x:row>
    <x:row r="902">
      <x:c r="AC902" s="7"/>
    </x:row>
    <x:row r="903">
      <x:c r="AC903" s="7"/>
    </x:row>
    <x:row r="904">
      <x:c r="AC904" s="7"/>
    </x:row>
    <x:row r="905">
      <x:c r="AC905" s="7"/>
    </x:row>
    <x:row r="906">
      <x:c r="AC906" s="7"/>
    </x:row>
    <x:row r="907">
      <x:c r="AC907" s="7"/>
    </x:row>
    <x:row r="908">
      <x:c r="AC908" s="7"/>
    </x:row>
    <x:row r="909">
      <x:c r="AC909" s="7"/>
    </x:row>
    <x:row r="910">
      <x:c r="AC910" s="7"/>
    </x:row>
    <x:row r="911">
      <x:c r="AC911" s="7"/>
    </x:row>
    <x:row r="912">
      <x:c r="AC912" s="7"/>
    </x:row>
    <x:row r="913">
      <x:c r="AC913" s="7"/>
    </x:row>
    <x:row r="914">
      <x:c r="AC914" s="7"/>
    </x:row>
    <x:row r="915">
      <x:c r="AC915" s="7"/>
    </x:row>
    <x:row r="916">
      <x:c r="AC916" s="7"/>
    </x:row>
    <x:row r="917">
      <x:c r="AC917" s="7"/>
    </x:row>
    <x:row r="918">
      <x:c r="AC918" s="7"/>
    </x:row>
    <x:row r="919">
      <x:c r="AC919" s="7"/>
    </x:row>
    <x:row r="920">
      <x:c r="AC920" s="7"/>
    </x:row>
    <x:row r="921">
      <x:c r="AC921" s="7"/>
    </x:row>
    <x:row r="922">
      <x:c r="AC922" s="7"/>
    </x:row>
    <x:row r="923">
      <x:c r="AC923" s="7"/>
    </x:row>
    <x:row r="924">
      <x:c r="AC924" s="7"/>
    </x:row>
    <x:row r="925">
      <x:c r="AC925" s="7"/>
    </x:row>
    <x:row r="926">
      <x:c r="AC926" s="7"/>
    </x:row>
    <x:row r="927">
      <x:c r="AC927" s="7"/>
    </x:row>
    <x:row r="928">
      <x:c r="AC928" s="7"/>
    </x:row>
    <x:row r="929">
      <x:c r="AC929" s="7"/>
    </x:row>
    <x:row r="930">
      <x:c r="AC930" s="7"/>
    </x:row>
    <x:row r="931">
      <x:c r="AC931" s="7"/>
    </x:row>
    <x:row r="932">
      <x:c r="AC932" s="7"/>
    </x:row>
    <x:row r="933">
      <x:c r="AC933" s="7"/>
    </x:row>
    <x:row r="934">
      <x:c r="AC934" s="7"/>
    </x:row>
    <x:row r="935">
      <x:c r="AC935" s="7"/>
    </x:row>
    <x:row r="936">
      <x:c r="AC936" s="7"/>
    </x:row>
    <x:row r="937">
      <x:c r="AC937" s="7"/>
    </x:row>
    <x:row r="938">
      <x:c r="AC938" s="7"/>
    </x:row>
    <x:row r="939">
      <x:c r="AC939" s="7"/>
    </x:row>
    <x:row r="940">
      <x:c r="AC940" s="7"/>
    </x:row>
    <x:row r="941">
      <x:c r="AC941" s="7"/>
    </x:row>
    <x:row r="942">
      <x:c r="AC942" s="7"/>
    </x:row>
    <x:row r="943">
      <x:c r="AC943" s="7"/>
    </x:row>
    <x:row r="944">
      <x:c r="AC944" s="7"/>
    </x:row>
    <x:row r="945">
      <x:c r="AC945" s="7"/>
    </x:row>
    <x:row r="946">
      <x:c r="AC946" s="7"/>
    </x:row>
    <x:row r="947">
      <x:c r="AC947" s="7"/>
    </x:row>
    <x:row r="948">
      <x:c r="AC948" s="7"/>
    </x:row>
    <x:row r="949">
      <x:c r="AC949" s="7"/>
    </x:row>
    <x:row r="950">
      <x:c r="AC950" s="7"/>
    </x:row>
    <x:row r="951">
      <x:c r="AC951" s="7"/>
    </x:row>
    <x:row r="952">
      <x:c r="AC952" s="7"/>
    </x:row>
    <x:row r="953">
      <x:c r="AC953" s="7"/>
    </x:row>
    <x:row r="954">
      <x:c r="AC954" s="7"/>
    </x:row>
    <x:row r="955">
      <x:c r="AC955" s="7"/>
    </x:row>
    <x:row r="956">
      <x:c r="AC956" s="7"/>
    </x:row>
    <x:row r="957">
      <x:c r="AC957" s="7"/>
    </x:row>
    <x:row r="958">
      <x:c r="AC958" s="7"/>
    </x:row>
    <x:row r="959">
      <x:c r="AC959" s="7"/>
    </x:row>
    <x:row r="960">
      <x:c r="AC960" s="7"/>
    </x:row>
    <x:row r="961">
      <x:c r="AC961" s="7"/>
    </x:row>
    <x:row r="962">
      <x:c r="AC962" s="7"/>
    </x:row>
    <x:row r="963">
      <x:c r="AC963" s="7"/>
    </x:row>
    <x:row r="964">
      <x:c r="AC964" s="7"/>
    </x:row>
    <x:row r="965">
      <x:c r="AC965" s="7"/>
    </x:row>
    <x:row r="966">
      <x:c r="AC966" s="7"/>
    </x:row>
    <x:row r="967">
      <x:c r="AC967" s="7"/>
    </x:row>
    <x:row r="968">
      <x:c r="AC968" s="7"/>
    </x:row>
    <x:row r="969">
      <x:c r="AC969" s="7"/>
    </x:row>
    <x:row r="970">
      <x:c r="AC970" s="7"/>
    </x:row>
    <x:row r="971">
      <x:c r="AC971" s="7"/>
    </x:row>
    <x:row r="972">
      <x:c r="AC972" s="7"/>
    </x:row>
    <x:row r="973">
      <x:c r="AC973" s="7"/>
    </x:row>
    <x:row r="974">
      <x:c r="AC974" s="7"/>
    </x:row>
    <x:row r="975">
      <x:c r="AC975" s="7"/>
    </x:row>
    <x:row r="976">
      <x:c r="AC976" s="7"/>
    </x:row>
    <x:row r="977">
      <x:c r="AC977" s="7"/>
    </x:row>
    <x:row r="978">
      <x:c r="AC978" s="7"/>
    </x:row>
    <x:row r="979">
      <x:c r="AC979" s="7"/>
    </x:row>
    <x:row r="980">
      <x:c r="AC980" s="7"/>
    </x:row>
    <x:row r="981">
      <x:c r="AC981" s="7"/>
    </x:row>
    <x:row r="982">
      <x:c r="AC982" s="7"/>
    </x:row>
    <x:row r="983">
      <x:c r="AC983" s="7"/>
    </x:row>
    <x:row r="984">
      <x:c r="AC984" s="7"/>
    </x:row>
    <x:row r="985">
      <x:c r="AC985" s="7"/>
    </x:row>
    <x:row r="986">
      <x:c r="AC986" s="7"/>
    </x:row>
    <x:row r="987">
      <x:c r="AC987" s="7"/>
    </x:row>
    <x:row r="988">
      <x:c r="AC988" s="7"/>
    </x:row>
    <x:row r="989">
      <x:c r="AC989" s="7"/>
    </x:row>
    <x:row r="990">
      <x:c r="AC990" s="7"/>
    </x:row>
    <x:row r="991">
      <x:c r="AC991" s="7"/>
    </x:row>
    <x:row r="992">
      <x:c r="AC992" s="7"/>
    </x:row>
    <x:row r="993">
      <x:c r="AC993" s="7"/>
    </x:row>
    <x:row r="994">
      <x:c r="AC994" s="7"/>
    </x:row>
    <x:row r="995">
      <x:c r="AC995" s="7"/>
    </x:row>
    <x:row r="996">
      <x:c r="AC996" s="7"/>
    </x:row>
    <x:row r="997">
      <x:c r="AC997" s="7"/>
    </x:row>
    <x:row r="998">
      <x:c r="AC998" s="7"/>
    </x:row>
    <x:row r="999">
      <x:c r="AC999" s="7"/>
    </x:row>
    <x:row r="1000">
      <x:c r="AC1000" s="7"/>
    </x:row>
    <x:row r="1001">
      <x:c r="AC1001" s="7"/>
    </x:row>
  </x:sheetData>
  <x:conditionalFormatting sqref="U2:U1001">
    <x:cfRule type="expression" dxfId="0" priority="1">
      <x:formula>AND(U2&lt;&gt;"",U2&lt;&gt;"Released",U2&lt;&gt;"Partial")</x:formula>
    </x:cfRule>
  </x:conditionalFormatting>
  <x:dataValidations count="4">
    <x:dataValidation type="whole" operator="between" sqref="C2:C1001">
      <x:formula1>2024</x:formula1>
      <x:formula2>2026</x:formula2>
    </x:dataValidation>
    <x:dataValidation type="list" sqref="U2:U1001">
      <x:formula1>"Released,Partial,Coming_Soon,None,Unknown"</x:formula1>
    </x:dataValidation>
    <x:dataValidation type="list" sqref="Z2:Z1001">
      <x:formula1>"L0,L1,L2,L3"</x:formula1>
    </x:dataValidation>
    <x:dataValidation type="list" sqref="E2:E1001">
      <x:formula1>"A"</x:formula1>
    </x:dataValidation>
  </x:dataValidations>
  <x:pageMargins left="0.7" right="0.7" top="0.75" bottom="0.75" header="0.3" footer="0.3"/>
  <x:tableParts count="1">
    <x:tablePart xmlns:r="http://schemas.openxmlformats.org/officeDocument/2006/relationships" r:id="R250b431c1f83454a"/>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100" hidden="0" customWidth="1"/>
  </x:cols>
  <x:sheetData>
    <x:row r="1" ht="52" customHeight="1">
      <x:c r="A1" s="5" t="str">
        <x:v>论文标题 Title</x:v>
      </x:c>
      <x:c r="B1" s="5" t="str">
        <x:v>年份 Year</x:v>
      </x:c>
      <x:c r="C1" s="5" t="str">
        <x:v>会议 Venue</x:v>
      </x:c>
      <x:c r="D1" s="5" t="str">
        <x:v>排除原因 Reason</x:v>
      </x:c>
      <x:c r="E1" s="5" t="str">
        <x:v>论文链接 Paper Link</x:v>
      </x:c>
      <x:c r="F1" s="5" t="str">
        <x:v>代码链接 Code Link</x:v>
      </x:c>
      <x:c r="G1" s="5" t="str">
        <x:v>检查日期 Checked Date</x:v>
      </x:c>
      <x:c r="H1" s="5" t="str">
        <x:v>备注 Notes</x:v>
      </x:c>
    </x:row>
    <x:row r="2" ht="120" customHeight="1">
      <x:c r="A2" s="10" t="str">
        <x:v>CoT-VLA: Visual Chain-of-Thought Reasoning for Vision-Language-Action Models</x:v>
      </x:c>
      <x:c r="B2" s="12" t="n">
        <x:v>2025</x:v>
      </x:c>
      <x:c r="C2" s="10" t="str">
        <x:v>CVPR</x:v>
      </x:c>
      <x:c r="D2" s="10" t="str">
        <x:v>No_Code</x:v>
      </x:c>
      <x:c r="E2" s="10" t="str">
        <x:v>https://openaccess.thecvf.com/content/CVPR2025/html/Zhao_CoT-VLA_Visual_Chain-of-Thought_Reasoning_for_Vision-Language-Action_Models_CVPR_2025_paper.html</x:v>
      </x:c>
      <x:c r="F2" s="10"/>
      <x:c r="G2" s="11" t="n">
        <x:v>46283</x:v>
      </x:c>
      <x:c r="H2" s="10" t="str">
        <x:v>真实原因：Code_Not_Verified。Code release not yet verified。No_Code 仅为现有合法下拉占位，不表示已经确认无代码。按用户要求暂缓纳入 Papers；CVF 正式条目已核对，CCF A 为用户提供且官网复核待完成。项目页面不等于训练/推理代码发布；代码链接留空待核验。</x:v>
      </x:c>
    </x:row>
    <x:row r="3" ht="120" customHeight="1">
      <x:c r="A3" s="10" t="str">
        <x:v>RoboGround: Robotic Manipulation with Grounded Vision-Language Priors</x:v>
      </x:c>
      <x:c r="B3" s="12" t="n">
        <x:v>2025</x:v>
      </x:c>
      <x:c r="C3" s="10" t="str">
        <x:v>CVPR</x:v>
      </x:c>
      <x:c r="D3" s="10" t="str">
        <x:v>No_Code</x:v>
      </x:c>
      <x:c r="E3" s="10" t="str">
        <x:v>https://openaccess.thecvf.com/content/CVPR2025/html/Huang_RoboGround_Robotic_Manipulation_with_Grounded_Vision-Language_Priors_CVPR_2025_paper.html</x:v>
      </x:c>
      <x:c r="F3" s="10"/>
      <x:c r="G3" s="11" t="n">
        <x:v>46283</x:v>
      </x:c>
      <x:c r="H3" s="10" t="str">
        <x:v>真实原因：Partial_Code。Partial release; full training/evaluation release requires recheck。Partial 为用户提供、待重新核验；No_Code 仅为现有合法下拉占位，不表示没有仓库或源码。未作为完整开源核心论文；training / evaluation / dataset / checkpoint 待复核。CVF 正式条目已核对，CCF A 官网复核待完成，代码链接留空待核验。</x:v>
      </x:c>
    </x:row>
    <x:row r="4" ht="170" customHeight="1">
      <x:c r="A4" s="10" t="str">
        <x:v>AffordDexGrasp: Open-set Language-guided Dexterous Grasp with Generalizable-Instructive Affordance</x:v>
      </x:c>
      <x:c r="B4" s="10" t="n">
        <x:v>2025</x:v>
      </x:c>
      <x:c r="C4" s="10" t="str">
        <x:v>ICCV</x:v>
      </x:c>
      <x:c r="D4" s="10" t="str">
        <x:v>Code_Coming_Soon</x:v>
      </x:c>
      <x:c r="E4" s="10" t="str">
        <x:v>https://openaccess.thecvf.com/content/ICCV2025/html/Wei_AffordDexGrasp_Open-set_Language-guided_Dexterous_Grasp_with_Generalizable-Instructive_Affordance_ICCV_2025_paper.html</x:v>
      </x:c>
      <x:c r="F4" s="10" t="str"/>
      <x:c r="G4" s="11" t="n">
        <x:v>46283</x:v>
      </x:c>
      <x:c r="H4" s="10" t="str">
        <x:v>项目页明确Code (Coming soon)、Dataset (Coming soon)；作者主页code为纯文本无链接。不能以项目网页源码算方法开源。 CCF等级本轮未确认；排除依据为代码门槛。项目页：https://isee-laboratory.github.io/AffordDexGrasp/</x:v>
      </x:c>
    </x:row>
    <x:row r="5" ht="170" customHeight="1">
      <x:c r="A5" s="10" t="str">
        <x:v>DexVLG: Dexterous Vision-Language-Grasp Model at Scale</x:v>
      </x:c>
      <x:c r="B5" s="10" t="n">
        <x:v>2025</x:v>
      </x:c>
      <x:c r="C5" s="10" t="str">
        <x:v>ICCV</x:v>
      </x:c>
      <x:c r="D5" s="10" t="str">
        <x:v>Code_Coming_Soon</x:v>
      </x:c>
      <x:c r="E5" s="10" t="str">
        <x:v>https://openaccess.thecvf.com/content/ICCV2025/html/He_DexVLG_Dexterous_Vision-Language-Grasp_Model_at_Scale_ICCV_2025_paper.html</x:v>
      </x:c>
      <x:c r="F5" s="10" t="str">
        <x:v>https://github.com/jiaweihe1996/DexVLG</x:v>
      </x:c>
      <x:c r="G5" s="11" t="n">
        <x:v>46283</x:v>
      </x:c>
      <x:c r="H5" s="10" t="str">
        <x:v>GitHub递归树仅1个README文件；训练/推理代码及权重发布选项均未勾选。不属于实际代码开源。 CCF等级本轮未确认；排除依据为代码门槛。项目页：</x:v>
      </x:c>
    </x:row>
    <x:row r="6" ht="170" customHeight="1">
      <x:c r="A6" s="10" t="str">
        <x:v>OmniManip: Towards General Robotic Manipulation via Object-Centric Interaction Primitives as Spatial Constraints</x:v>
      </x:c>
      <x:c r="B6" s="10" t="n">
        <x:v>2025</x:v>
      </x:c>
      <x:c r="C6" s="10" t="str">
        <x:v>CVPR</x:v>
      </x:c>
      <x:c r="D6" s="10" t="str">
        <x:v>No_Code</x:v>
      </x:c>
      <x:c r="E6" s="10" t="str">
        <x:v>https://openaccess.thecvf.com/content/CVPR2025/html/Pan_OmniManip_Towards_General_Robotic_Manipulation_via_Object-Centric_Interaction_Primitives_as_CVPR_2025_paper.html</x:v>
      </x:c>
      <x:c r="F6" s="10" t="str"/>
      <x:c r="G6" s="11" t="n">
        <x:v>46283</x:v>
      </x:c>
      <x:c r="H6" s="10" t="str">
        <x:v>本轮官网及针对性检索未找到可核实的作者方法代码；仅见论文、视频、项目页。No_Code表示未满足公开代码门槛，不是证明任何地方都不存在代码。 CCF等级本轮未确认；排除依据为代码门槛。项目页：https://omnimanip.github.io/</x:v>
      </x:c>
    </x:row>
    <x:row r="7" ht="170" customHeight="1">
      <x:c r="A7" s="10" t="str">
        <x:v>Hi Robot: Open-Ended Instruction Following with Hierarchical Vision-Language-Action Models</x:v>
      </x:c>
      <x:c r="B7" s="10" t="n">
        <x:v>2025</x:v>
      </x:c>
      <x:c r="C7" s="10" t="str">
        <x:v>ICML</x:v>
      </x:c>
      <x:c r="D7" s="10" t="str">
        <x:v>No_Code</x:v>
      </x:c>
      <x:c r="E7" s="10" t="str">
        <x:v>https://proceedings.mlr.press/v267/shi25d.html</x:v>
      </x:c>
      <x:c r="F7" s="10" t="str"/>
      <x:c r="G7" s="11" t="n">
        <x:v>46283</x:v>
      </x:c>
      <x:c r="H7" s="10" t="str">
        <x:v>本轮官方研究页及针对性检索未找到Hi Robot完整方法的官方代码；不能用底层pi0/openpi替代高层系统实现。No_Code表示未满足门槛，真实代码状态Unknown。 CCF等级本轮未确认；排除依据为代码门槛。项目页：https://www.pi.website/research/hirobot</x:v>
      </x:c>
    </x:row>
    <x:row r="8" ht="170" customHeight="1">
      <x:c r="A8" s="10" t="str">
        <x:v>Benchmarking Generalizable Bimanual Manipulation: RoboTwin Dual-Arm Collaboration Challenge at CVPR 2025 MEIS Workshop</x:v>
      </x:c>
      <x:c r="B8" s="10" t="n">
        <x:v>2025</x:v>
      </x:c>
      <x:c r="C8" s="10" t="str">
        <x:v>CVPR 2025 MEIS Workshop</x:v>
      </x:c>
      <x:c r="D8" s="10" t="str">
        <x:v>Workshop</x:v>
      </x:c>
      <x:c r="E8" s="10" t="str">
        <x:v>https://arxiv.org/abs/2506.23351</x:v>
      </x:c>
      <x:c r="F8" s="10" t="str">
        <x:v>https://github.com/RoboTwin-Platform/RoboTwin</x:v>
      </x:c>
      <x:c r="G8" s="11" t="n">
        <x:v>46283</x:v>
      </x:c>
      <x:c r="H8" s="10" t="str">
        <x:v>竞赛官方页面明确为2nd MEIS Workshop及Technical Report：https://robotwin-benchmark.github.io/cvpr-2025-challenge/ 。不是RoboTwin CVPR 2025正式主会论文；此处无需依赖CCF等级即可排除。代码状态本轮不用于准入。</x:v>
      </x:c>
    </x:row>
    <x:row r="9" ht="170" customHeight="1">
      <x:c r="A9" s="10" t="str">
        <x:v>ManipLLM: Embodied Multimodal Large Language Model for Object-Centric Robotic Manipulation</x:v>
      </x:c>
      <x:c r="B9" s="10" t="n">
        <x:v>2024</x:v>
      </x:c>
      <x:c r="C9" s="10" t="str">
        <x:v>CVPR</x:v>
      </x:c>
      <x:c r="D9" s="10" t="str">
        <x:v>Duplicate</x:v>
      </x:c>
      <x:c r="E9" s="10" t="str">
        <x:v>https://openaccess.thecvf.com/content/CVPR2024/html/Li_ManipLLM_Embodied_Multimodal_Large_Language_Model_for_Object-Centric_Robotic_Manipulation_CVPR_2024_paper.html</x:v>
      </x:c>
      <x:c r="F9" s="10" t="str">
        <x:v>https://github.com/clorislili/ManipLLM</x:v>
      </x:c>
      <x:c r="G9" s="11" t="n">
        <x:v>46283</x:v>
      </x:c>
      <x:c r="H9" s="10" t="str">
        <x:v>本轮规范化标题、官方论文URL去重命中已有P0001；主记录保留在Papers。此行仅记录重复检索，不表示主记录因研究质量或代码被否定。本轮仅复核官方论文身份，未重新认定旧CCF等级或代码状态。</x:v>
      </x:c>
    </x:row>
    <x:row r="10" ht="170" customHeight="1">
      <x:c r="A10" s="10" t="str">
        <x:v>ManipTrans: Efficient Dexterous Bimanual Manipulation Transfer via Residual Learning</x:v>
      </x:c>
      <x:c r="B10" s="10" t="n">
        <x:v>2025</x:v>
      </x:c>
      <x:c r="C10" s="10" t="str">
        <x:v>CVPR</x:v>
      </x:c>
      <x:c r="D10" s="10" t="str">
        <x:v>Duplicate</x:v>
      </x:c>
      <x:c r="E10" s="10" t="str">
        <x:v>https://openaccess.thecvf.com/content/CVPR2025/html/Li_ManipTrans_Efficient_Dexterous_Bimanual_Manipulation_Transfer_via_Residual_Learning_CVPR_2025_paper.html</x:v>
      </x:c>
      <x:c r="F10" s="10" t="str">
        <x:v>https://github.com/ManipTrans/ManipTrans</x:v>
      </x:c>
      <x:c r="G10" s="11" t="n">
        <x:v>46283</x:v>
      </x:c>
      <x:c r="H10" s="10" t="str">
        <x:v>本轮规范化标题、官方论文URL去重命中已有P0002；主记录保留在Papers。此行仅记录重复检索，不表示主记录因研究质量或代码被否定。本轮仅复核官方论文身份，未重新认定旧CCF等级或代码状态。</x:v>
      </x:c>
    </x:row>
    <x:row r="11" ht="170" customHeight="1">
      <x:c r="A11" s="10" t="str">
        <x:v>DexHandDiff: Interaction-aware Diffusion Planning for Adaptive Dexterous Manipulation</x:v>
      </x:c>
      <x:c r="B11" s="10" t="n">
        <x:v>2025</x:v>
      </x:c>
      <x:c r="C11" s="10" t="str">
        <x:v>CVPR</x:v>
      </x:c>
      <x:c r="D11" s="10" t="str">
        <x:v>Duplicate</x:v>
      </x:c>
      <x:c r="E11" s="10" t="str">
        <x:v>https://openaccess.thecvf.com/content/CVPR2025/html/Liang_DexHandDiff_Interaction-aware_Diffusion_Planning_for_Adaptive_Dexterous_Manipulation_CVPR_2025_paper.html</x:v>
      </x:c>
      <x:c r="F11" s="10" t="str">
        <x:v>https://github.com/Liang-ZX/DexHandDiff</x:v>
      </x:c>
      <x:c r="G11" s="11" t="n">
        <x:v>46283</x:v>
      </x:c>
      <x:c r="H11" s="10" t="str">
        <x:v>本轮规范化标题、官方论文URL去重命中已有P0003；主记录保留在Papers。此行仅记录重复检索，不表示主记录因研究质量或代码被否定。本轮仅复核官方论文身份，未重新认定旧CCF等级或代码状态。</x:v>
      </x:c>
    </x:row>
    <x:row r="12" ht="170" customHeight="1">
      <x:c r="A12" s="10" t="str">
        <x:v>AR-VRM: Imitating Human Motions for Visual Robot Manipulation with Analogical Reasoning</x:v>
      </x:c>
      <x:c r="B12" s="10" t="n">
        <x:v>2025</x:v>
      </x:c>
      <x:c r="C12" s="10" t="str">
        <x:v>ICCV</x:v>
      </x:c>
      <x:c r="D12" s="10" t="str">
        <x:v>Duplicate</x:v>
      </x:c>
      <x:c r="E12" s="10" t="str">
        <x:v>https://openaccess.thecvf.com/content/ICCV2025/html/Yang_AR-VRM_Imitating_Human_Motions_for_Visual_Robot_Manipulation_with_Analogical_ICCV_2025_paper.html</x:v>
      </x:c>
      <x:c r="F12" s="10" t="str">
        <x:v>https://github.com/idejie/ar</x:v>
      </x:c>
      <x:c r="G12" s="11" t="n">
        <x:v>46283</x:v>
      </x:c>
      <x:c r="H12" s="10" t="str">
        <x:v>本轮规范化标题、官方论文URL去重命中已有P0004；主记录保留在Papers。此行仅记录重复检索，不表示主记录因研究质量或代码被否定。本轮仅复核官方论文身份，未重新认定旧CCF等级或代码状态。</x:v>
      </x:c>
    </x:row>
    <x:row r="13">
      <x:c r="G13" s="7"/>
    </x:row>
    <x:row r="14">
      <x:c r="G14" s="7"/>
    </x:row>
    <x:row r="15">
      <x:c r="G15" s="7"/>
    </x:row>
    <x:row r="16">
      <x:c r="G16" s="7"/>
    </x:row>
    <x:row r="17">
      <x:c r="G17" s="7"/>
    </x:row>
    <x:row r="18">
      <x:c r="G18" s="7"/>
    </x:row>
    <x:row r="19">
      <x:c r="G19" s="7"/>
    </x:row>
    <x:row r="20">
      <x:c r="G20" s="7"/>
    </x:row>
    <x:row r="21">
      <x:c r="G21" s="7"/>
    </x:row>
    <x:row r="22">
      <x:c r="G22" s="7"/>
    </x:row>
    <x:row r="23">
      <x:c r="G23" s="7"/>
    </x:row>
    <x:row r="24">
      <x:c r="G24" s="7"/>
    </x:row>
    <x:row r="25">
      <x:c r="G25" s="7"/>
    </x:row>
    <x:row r="26">
      <x:c r="G26" s="7"/>
    </x:row>
    <x:row r="27">
      <x:c r="G27" s="7"/>
    </x:row>
    <x:row r="28">
      <x:c r="G28" s="7"/>
    </x:row>
    <x:row r="29">
      <x:c r="G29" s="7"/>
    </x:row>
    <x:row r="30">
      <x:c r="G30" s="7"/>
    </x:row>
    <x:row r="31">
      <x:c r="G31" s="7"/>
    </x:row>
    <x:row r="32">
      <x:c r="G32" s="7"/>
    </x:row>
    <x:row r="33">
      <x:c r="G33" s="7"/>
    </x:row>
    <x:row r="34">
      <x:c r="G34" s="7"/>
    </x:row>
    <x:row r="35">
      <x:c r="G35" s="7"/>
    </x:row>
    <x:row r="36">
      <x:c r="G36" s="7"/>
    </x:row>
    <x:row r="37">
      <x:c r="G37" s="7"/>
    </x:row>
    <x:row r="38">
      <x:c r="G38" s="7"/>
    </x:row>
    <x:row r="39">
      <x:c r="G39" s="7"/>
    </x:row>
    <x:row r="40">
      <x:c r="G40" s="7"/>
    </x:row>
    <x:row r="41">
      <x:c r="G41" s="7"/>
    </x:row>
    <x:row r="42">
      <x:c r="G42" s="7"/>
    </x:row>
    <x:row r="43">
      <x:c r="G43" s="7"/>
    </x:row>
    <x:row r="44">
      <x:c r="G44" s="7"/>
    </x:row>
    <x:row r="45">
      <x:c r="G45" s="7"/>
    </x:row>
    <x:row r="46">
      <x:c r="G46" s="7"/>
    </x:row>
    <x:row r="47">
      <x:c r="G47" s="7"/>
    </x:row>
    <x:row r="48">
      <x:c r="G48" s="7"/>
    </x:row>
    <x:row r="49">
      <x:c r="G49" s="7"/>
    </x:row>
    <x:row r="50">
      <x:c r="G50" s="7"/>
    </x:row>
    <x:row r="51">
      <x:c r="G51" s="7"/>
    </x:row>
    <x:row r="52">
      <x:c r="G52" s="7"/>
    </x:row>
    <x:row r="53">
      <x:c r="G53" s="7"/>
    </x:row>
    <x:row r="54">
      <x:c r="G54" s="7"/>
    </x:row>
    <x:row r="55">
      <x:c r="G55" s="7"/>
    </x:row>
    <x:row r="56">
      <x:c r="G56" s="7"/>
    </x:row>
    <x:row r="57">
      <x:c r="G57" s="7"/>
    </x:row>
    <x:row r="58">
      <x:c r="G58" s="7"/>
    </x:row>
    <x:row r="59">
      <x:c r="G59" s="7"/>
    </x:row>
    <x:row r="60">
      <x:c r="G60" s="7"/>
    </x:row>
    <x:row r="61">
      <x:c r="G61" s="7"/>
    </x:row>
    <x:row r="62">
      <x:c r="G62" s="7"/>
    </x:row>
    <x:row r="63">
      <x:c r="G63" s="7"/>
    </x:row>
    <x:row r="64">
      <x:c r="G64" s="7"/>
    </x:row>
    <x:row r="65">
      <x:c r="G65" s="7"/>
    </x:row>
    <x:row r="66">
      <x:c r="G66" s="7"/>
    </x:row>
    <x:row r="67">
      <x:c r="G67" s="7"/>
    </x:row>
    <x:row r="68">
      <x:c r="G68" s="7"/>
    </x:row>
    <x:row r="69">
      <x:c r="G69" s="7"/>
    </x:row>
    <x:row r="70">
      <x:c r="G70" s="7"/>
    </x:row>
    <x:row r="71">
      <x:c r="G71" s="7"/>
    </x:row>
    <x:row r="72">
      <x:c r="G72" s="7"/>
    </x:row>
    <x:row r="73">
      <x:c r="G73" s="7"/>
    </x:row>
    <x:row r="74">
      <x:c r="G74" s="7"/>
    </x:row>
    <x:row r="75">
      <x:c r="G75" s="7"/>
    </x:row>
    <x:row r="76">
      <x:c r="G76" s="7"/>
    </x:row>
    <x:row r="77">
      <x:c r="G77" s="7"/>
    </x:row>
    <x:row r="78">
      <x:c r="G78" s="7"/>
    </x:row>
    <x:row r="79">
      <x:c r="G79" s="7"/>
    </x:row>
    <x:row r="80">
      <x:c r="G80" s="7"/>
    </x:row>
    <x:row r="81">
      <x:c r="G81" s="7"/>
    </x:row>
    <x:row r="82">
      <x:c r="G82" s="7"/>
    </x:row>
    <x:row r="83">
      <x:c r="G83" s="7"/>
    </x:row>
    <x:row r="84">
      <x:c r="G84" s="7"/>
    </x:row>
    <x:row r="85">
      <x:c r="G85" s="7"/>
    </x:row>
    <x:row r="86">
      <x:c r="G86" s="7"/>
    </x:row>
    <x:row r="87">
      <x:c r="G87" s="7"/>
    </x:row>
    <x:row r="88">
      <x:c r="G88" s="7"/>
    </x:row>
    <x:row r="89">
      <x:c r="G89" s="7"/>
    </x:row>
    <x:row r="90">
      <x:c r="G90" s="7"/>
    </x:row>
    <x:row r="91">
      <x:c r="G91" s="7"/>
    </x:row>
    <x:row r="92">
      <x:c r="G92" s="7"/>
    </x:row>
    <x:row r="93">
      <x:c r="G93" s="7"/>
    </x:row>
    <x:row r="94">
      <x:c r="G94" s="7"/>
    </x:row>
    <x:row r="95">
      <x:c r="G95" s="7"/>
    </x:row>
    <x:row r="96">
      <x:c r="G96" s="7"/>
    </x:row>
    <x:row r="97">
      <x:c r="G97" s="7"/>
    </x:row>
    <x:row r="98">
      <x:c r="G98" s="7"/>
    </x:row>
    <x:row r="99">
      <x:c r="G99" s="7"/>
    </x:row>
    <x:row r="100">
      <x:c r="G100" s="7"/>
    </x:row>
    <x:row r="101">
      <x:c r="G101" s="7"/>
    </x:row>
    <x:row r="102">
      <x:c r="G102" s="7"/>
    </x:row>
    <x:row r="103">
      <x:c r="G103" s="7"/>
    </x:row>
    <x:row r="104">
      <x:c r="G104" s="7"/>
    </x:row>
    <x:row r="105">
      <x:c r="G105" s="7"/>
    </x:row>
    <x:row r="106">
      <x:c r="G106" s="7"/>
    </x:row>
    <x:row r="107">
      <x:c r="G107" s="7"/>
    </x:row>
    <x:row r="108">
      <x:c r="G108" s="7"/>
    </x:row>
    <x:row r="109">
      <x:c r="G109" s="7"/>
    </x:row>
    <x:row r="110">
      <x:c r="G110" s="7"/>
    </x:row>
    <x:row r="111">
      <x:c r="G111" s="7"/>
    </x:row>
    <x:row r="112">
      <x:c r="G112" s="7"/>
    </x:row>
    <x:row r="113">
      <x:c r="G113" s="7"/>
    </x:row>
    <x:row r="114">
      <x:c r="G114" s="7"/>
    </x:row>
    <x:row r="115">
      <x:c r="G115" s="7"/>
    </x:row>
    <x:row r="116">
      <x:c r="G116" s="7"/>
    </x:row>
    <x:row r="117">
      <x:c r="G117" s="7"/>
    </x:row>
    <x:row r="118">
      <x:c r="G118" s="7"/>
    </x:row>
    <x:row r="119">
      <x:c r="G119" s="7"/>
    </x:row>
    <x:row r="120">
      <x:c r="G120" s="7"/>
    </x:row>
    <x:row r="121">
      <x:c r="G121" s="7"/>
    </x:row>
    <x:row r="122">
      <x:c r="G122" s="7"/>
    </x:row>
    <x:row r="123">
      <x:c r="G123" s="7"/>
    </x:row>
    <x:row r="124">
      <x:c r="G124" s="7"/>
    </x:row>
    <x:row r="125">
      <x:c r="G125" s="7"/>
    </x:row>
    <x:row r="126">
      <x:c r="G126" s="7"/>
    </x:row>
    <x:row r="127">
      <x:c r="G127" s="7"/>
    </x:row>
    <x:row r="128">
      <x:c r="G128" s="7"/>
    </x:row>
    <x:row r="129">
      <x:c r="G129" s="7"/>
    </x:row>
    <x:row r="130">
      <x:c r="G130" s="7"/>
    </x:row>
    <x:row r="131">
      <x:c r="G131" s="7"/>
    </x:row>
    <x:row r="132">
      <x:c r="G132" s="7"/>
    </x:row>
    <x:row r="133">
      <x:c r="G133" s="7"/>
    </x:row>
    <x:row r="134">
      <x:c r="G134" s="7"/>
    </x:row>
    <x:row r="135">
      <x:c r="G135" s="7"/>
    </x:row>
    <x:row r="136">
      <x:c r="G136" s="7"/>
    </x:row>
    <x:row r="137">
      <x:c r="G137" s="7"/>
    </x:row>
    <x:row r="138">
      <x:c r="G138" s="7"/>
    </x:row>
    <x:row r="139">
      <x:c r="G139" s="7"/>
    </x:row>
    <x:row r="140">
      <x:c r="G140" s="7"/>
    </x:row>
    <x:row r="141">
      <x:c r="G141" s="7"/>
    </x:row>
    <x:row r="142">
      <x:c r="G142" s="7"/>
    </x:row>
    <x:row r="143">
      <x:c r="G143" s="7"/>
    </x:row>
    <x:row r="144">
      <x:c r="G144" s="7"/>
    </x:row>
    <x:row r="145">
      <x:c r="G145" s="7"/>
    </x:row>
    <x:row r="146">
      <x:c r="G146" s="7"/>
    </x:row>
    <x:row r="147">
      <x:c r="G147" s="7"/>
    </x:row>
    <x:row r="148">
      <x:c r="G148" s="7"/>
    </x:row>
    <x:row r="149">
      <x:c r="G149" s="7"/>
    </x:row>
    <x:row r="150">
      <x:c r="G150" s="7"/>
    </x:row>
    <x:row r="151">
      <x:c r="G151" s="7"/>
    </x:row>
    <x:row r="152">
      <x:c r="G152" s="7"/>
    </x:row>
    <x:row r="153">
      <x:c r="G153" s="7"/>
    </x:row>
    <x:row r="154">
      <x:c r="G154" s="7"/>
    </x:row>
    <x:row r="155">
      <x:c r="G155" s="7"/>
    </x:row>
    <x:row r="156">
      <x:c r="G156" s="7"/>
    </x:row>
    <x:row r="157">
      <x:c r="G157" s="7"/>
    </x:row>
    <x:row r="158">
      <x:c r="G158" s="7"/>
    </x:row>
    <x:row r="159">
      <x:c r="G159" s="7"/>
    </x:row>
    <x:row r="160">
      <x:c r="G160" s="7"/>
    </x:row>
    <x:row r="161">
      <x:c r="G161" s="7"/>
    </x:row>
    <x:row r="162">
      <x:c r="G162" s="7"/>
    </x:row>
    <x:row r="163">
      <x:c r="G163" s="7"/>
    </x:row>
    <x:row r="164">
      <x:c r="G164" s="7"/>
    </x:row>
    <x:row r="165">
      <x:c r="G165" s="7"/>
    </x:row>
    <x:row r="166">
      <x:c r="G166" s="7"/>
    </x:row>
    <x:row r="167">
      <x:c r="G167" s="7"/>
    </x:row>
    <x:row r="168">
      <x:c r="G168" s="7"/>
    </x:row>
    <x:row r="169">
      <x:c r="G169" s="7"/>
    </x:row>
    <x:row r="170">
      <x:c r="G170" s="7"/>
    </x:row>
    <x:row r="171">
      <x:c r="G171" s="7"/>
    </x:row>
    <x:row r="172">
      <x:c r="G172" s="7"/>
    </x:row>
    <x:row r="173">
      <x:c r="G173" s="7"/>
    </x:row>
    <x:row r="174">
      <x:c r="G174" s="7"/>
    </x:row>
    <x:row r="175">
      <x:c r="G175" s="7"/>
    </x:row>
    <x:row r="176">
      <x:c r="G176" s="7"/>
    </x:row>
    <x:row r="177">
      <x:c r="G177" s="7"/>
    </x:row>
    <x:row r="178">
      <x:c r="G178" s="7"/>
    </x:row>
    <x:row r="179">
      <x:c r="G179" s="7"/>
    </x:row>
    <x:row r="180">
      <x:c r="G180" s="7"/>
    </x:row>
    <x:row r="181">
      <x:c r="G181" s="7"/>
    </x:row>
    <x:row r="182">
      <x:c r="G182" s="7"/>
    </x:row>
    <x:row r="183">
      <x:c r="G183" s="7"/>
    </x:row>
    <x:row r="184">
      <x:c r="G184" s="7"/>
    </x:row>
    <x:row r="185">
      <x:c r="G185" s="7"/>
    </x:row>
    <x:row r="186">
      <x:c r="G186" s="7"/>
    </x:row>
    <x:row r="187">
      <x:c r="G187" s="7"/>
    </x:row>
    <x:row r="188">
      <x:c r="G188" s="7"/>
    </x:row>
    <x:row r="189">
      <x:c r="G189" s="7"/>
    </x:row>
    <x:row r="190">
      <x:c r="G190" s="7"/>
    </x:row>
    <x:row r="191">
      <x:c r="G191" s="7"/>
    </x:row>
    <x:row r="192">
      <x:c r="G192" s="7"/>
    </x:row>
    <x:row r="193">
      <x:c r="G193" s="7"/>
    </x:row>
    <x:row r="194">
      <x:c r="G194" s="7"/>
    </x:row>
    <x:row r="195">
      <x:c r="G195" s="7"/>
    </x:row>
    <x:row r="196">
      <x:c r="G196" s="7"/>
    </x:row>
    <x:row r="197">
      <x:c r="G197" s="7"/>
    </x:row>
    <x:row r="198">
      <x:c r="G198" s="7"/>
    </x:row>
    <x:row r="199">
      <x:c r="G199" s="7"/>
    </x:row>
    <x:row r="200">
      <x:c r="G200" s="7"/>
    </x:row>
    <x:row r="201">
      <x:c r="G201" s="7"/>
    </x:row>
    <x:row r="202">
      <x:c r="G202" s="7"/>
    </x:row>
    <x:row r="203">
      <x:c r="G203" s="7"/>
    </x:row>
    <x:row r="204">
      <x:c r="G204" s="7"/>
    </x:row>
    <x:row r="205">
      <x:c r="G205" s="7"/>
    </x:row>
    <x:row r="206">
      <x:c r="G206" s="7"/>
    </x:row>
    <x:row r="207">
      <x:c r="G207" s="7"/>
    </x:row>
    <x:row r="208">
      <x:c r="G208" s="7"/>
    </x:row>
    <x:row r="209">
      <x:c r="G209" s="7"/>
    </x:row>
    <x:row r="210">
      <x:c r="G210" s="7"/>
    </x:row>
    <x:row r="211">
      <x:c r="G211" s="7"/>
    </x:row>
    <x:row r="212">
      <x:c r="G212" s="7"/>
    </x:row>
    <x:row r="213">
      <x:c r="G213" s="7"/>
    </x:row>
    <x:row r="214">
      <x:c r="G214" s="7"/>
    </x:row>
    <x:row r="215">
      <x:c r="G215" s="7"/>
    </x:row>
    <x:row r="216">
      <x:c r="G216" s="7"/>
    </x:row>
    <x:row r="217">
      <x:c r="G217" s="7"/>
    </x:row>
    <x:row r="218">
      <x:c r="G218" s="7"/>
    </x:row>
    <x:row r="219">
      <x:c r="G219" s="7"/>
    </x:row>
    <x:row r="220">
      <x:c r="G220" s="7"/>
    </x:row>
    <x:row r="221">
      <x:c r="G221" s="7"/>
    </x:row>
    <x:row r="222">
      <x:c r="G222" s="7"/>
    </x:row>
    <x:row r="223">
      <x:c r="G223" s="7"/>
    </x:row>
    <x:row r="224">
      <x:c r="G224" s="7"/>
    </x:row>
    <x:row r="225">
      <x:c r="G225" s="7"/>
    </x:row>
    <x:row r="226">
      <x:c r="G226" s="7"/>
    </x:row>
    <x:row r="227">
      <x:c r="G227" s="7"/>
    </x:row>
    <x:row r="228">
      <x:c r="G228" s="7"/>
    </x:row>
    <x:row r="229">
      <x:c r="G229" s="7"/>
    </x:row>
    <x:row r="230">
      <x:c r="G230" s="7"/>
    </x:row>
    <x:row r="231">
      <x:c r="G231" s="7"/>
    </x:row>
    <x:row r="232">
      <x:c r="G232" s="7"/>
    </x:row>
    <x:row r="233">
      <x:c r="G233" s="7"/>
    </x:row>
    <x:row r="234">
      <x:c r="G234" s="7"/>
    </x:row>
    <x:row r="235">
      <x:c r="G235" s="7"/>
    </x:row>
    <x:row r="236">
      <x:c r="G236" s="7"/>
    </x:row>
    <x:row r="237">
      <x:c r="G237" s="7"/>
    </x:row>
    <x:row r="238">
      <x:c r="G238" s="7"/>
    </x:row>
    <x:row r="239">
      <x:c r="G239" s="7"/>
    </x:row>
    <x:row r="240">
      <x:c r="G240" s="7"/>
    </x:row>
    <x:row r="241">
      <x:c r="G241" s="7"/>
    </x:row>
    <x:row r="242">
      <x:c r="G242" s="7"/>
    </x:row>
    <x:row r="243">
      <x:c r="G243" s="7"/>
    </x:row>
    <x:row r="244">
      <x:c r="G244" s="7"/>
    </x:row>
    <x:row r="245">
      <x:c r="G245" s="7"/>
    </x:row>
    <x:row r="246">
      <x:c r="G246" s="7"/>
    </x:row>
    <x:row r="247">
      <x:c r="G247" s="7"/>
    </x:row>
    <x:row r="248">
      <x:c r="G248" s="7"/>
    </x:row>
    <x:row r="249">
      <x:c r="G249" s="7"/>
    </x:row>
    <x:row r="250">
      <x:c r="G250" s="7"/>
    </x:row>
    <x:row r="251">
      <x:c r="G251" s="7"/>
    </x:row>
    <x:row r="252">
      <x:c r="G252" s="7"/>
    </x:row>
    <x:row r="253">
      <x:c r="G253" s="7"/>
    </x:row>
    <x:row r="254">
      <x:c r="G254" s="7"/>
    </x:row>
    <x:row r="255">
      <x:c r="G255" s="7"/>
    </x:row>
    <x:row r="256">
      <x:c r="G256" s="7"/>
    </x:row>
    <x:row r="257">
      <x:c r="G257" s="7"/>
    </x:row>
    <x:row r="258">
      <x:c r="G258" s="7"/>
    </x:row>
    <x:row r="259">
      <x:c r="G259" s="7"/>
    </x:row>
    <x:row r="260">
      <x:c r="G260" s="7"/>
    </x:row>
    <x:row r="261">
      <x:c r="G261" s="7"/>
    </x:row>
    <x:row r="262">
      <x:c r="G262" s="7"/>
    </x:row>
    <x:row r="263">
      <x:c r="G263" s="7"/>
    </x:row>
    <x:row r="264">
      <x:c r="G264" s="7"/>
    </x:row>
    <x:row r="265">
      <x:c r="G265" s="7"/>
    </x:row>
    <x:row r="266">
      <x:c r="G266" s="7"/>
    </x:row>
    <x:row r="267">
      <x:c r="G267" s="7"/>
    </x:row>
    <x:row r="268">
      <x:c r="G268" s="7"/>
    </x:row>
    <x:row r="269">
      <x:c r="G269" s="7"/>
    </x:row>
    <x:row r="270">
      <x:c r="G270" s="7"/>
    </x:row>
    <x:row r="271">
      <x:c r="G271" s="7"/>
    </x:row>
    <x:row r="272">
      <x:c r="G272" s="7"/>
    </x:row>
    <x:row r="273">
      <x:c r="G273" s="7"/>
    </x:row>
    <x:row r="274">
      <x:c r="G274" s="7"/>
    </x:row>
    <x:row r="275">
      <x:c r="G275" s="7"/>
    </x:row>
    <x:row r="276">
      <x:c r="G276" s="7"/>
    </x:row>
    <x:row r="277">
      <x:c r="G277" s="7"/>
    </x:row>
    <x:row r="278">
      <x:c r="G278" s="7"/>
    </x:row>
    <x:row r="279">
      <x:c r="G279" s="7"/>
    </x:row>
    <x:row r="280">
      <x:c r="G280" s="7"/>
    </x:row>
    <x:row r="281">
      <x:c r="G281" s="7"/>
    </x:row>
    <x:row r="282">
      <x:c r="G282" s="7"/>
    </x:row>
    <x:row r="283">
      <x:c r="G283" s="7"/>
    </x:row>
    <x:row r="284">
      <x:c r="G284" s="7"/>
    </x:row>
    <x:row r="285">
      <x:c r="G285" s="7"/>
    </x:row>
    <x:row r="286">
      <x:c r="G286" s="7"/>
    </x:row>
    <x:row r="287">
      <x:c r="G287" s="7"/>
    </x:row>
    <x:row r="288">
      <x:c r="G288" s="7"/>
    </x:row>
    <x:row r="289">
      <x:c r="G289" s="7"/>
    </x:row>
    <x:row r="290">
      <x:c r="G290" s="7"/>
    </x:row>
    <x:row r="291">
      <x:c r="G291" s="7"/>
    </x:row>
    <x:row r="292">
      <x:c r="G292" s="7"/>
    </x:row>
    <x:row r="293">
      <x:c r="G293" s="7"/>
    </x:row>
    <x:row r="294">
      <x:c r="G294" s="7"/>
    </x:row>
    <x:row r="295">
      <x:c r="G295" s="7"/>
    </x:row>
    <x:row r="296">
      <x:c r="G296" s="7"/>
    </x:row>
    <x:row r="297">
      <x:c r="G297" s="7"/>
    </x:row>
    <x:row r="298">
      <x:c r="G298" s="7"/>
    </x:row>
    <x:row r="299">
      <x:c r="G299" s="7"/>
    </x:row>
    <x:row r="300">
      <x:c r="G300" s="7"/>
    </x:row>
    <x:row r="301">
      <x:c r="G301" s="7"/>
    </x:row>
    <x:row r="302">
      <x:c r="G302" s="7"/>
    </x:row>
    <x:row r="303">
      <x:c r="G303" s="7"/>
    </x:row>
    <x:row r="304">
      <x:c r="G304" s="7"/>
    </x:row>
    <x:row r="305">
      <x:c r="G305" s="7"/>
    </x:row>
    <x:row r="306">
      <x:c r="G306" s="7"/>
    </x:row>
    <x:row r="307">
      <x:c r="G307" s="7"/>
    </x:row>
    <x:row r="308">
      <x:c r="G308" s="7"/>
    </x:row>
    <x:row r="309">
      <x:c r="G309" s="7"/>
    </x:row>
    <x:row r="310">
      <x:c r="G310" s="7"/>
    </x:row>
    <x:row r="311">
      <x:c r="G311" s="7"/>
    </x:row>
    <x:row r="312">
      <x:c r="G312" s="7"/>
    </x:row>
    <x:row r="313">
      <x:c r="G313" s="7"/>
    </x:row>
    <x:row r="314">
      <x:c r="G314" s="7"/>
    </x:row>
    <x:row r="315">
      <x:c r="G315" s="7"/>
    </x:row>
    <x:row r="316">
      <x:c r="G316" s="7"/>
    </x:row>
    <x:row r="317">
      <x:c r="G317" s="7"/>
    </x:row>
    <x:row r="318">
      <x:c r="G318" s="7"/>
    </x:row>
    <x:row r="319">
      <x:c r="G319" s="7"/>
    </x:row>
    <x:row r="320">
      <x:c r="G320" s="7"/>
    </x:row>
    <x:row r="321">
      <x:c r="G321" s="7"/>
    </x:row>
    <x:row r="322">
      <x:c r="G322" s="7"/>
    </x:row>
    <x:row r="323">
      <x:c r="G323" s="7"/>
    </x:row>
    <x:row r="324">
      <x:c r="G324" s="7"/>
    </x:row>
    <x:row r="325">
      <x:c r="G325" s="7"/>
    </x:row>
    <x:row r="326">
      <x:c r="G326" s="7"/>
    </x:row>
    <x:row r="327">
      <x:c r="G327" s="7"/>
    </x:row>
    <x:row r="328">
      <x:c r="G328" s="7"/>
    </x:row>
    <x:row r="329">
      <x:c r="G329" s="7"/>
    </x:row>
    <x:row r="330">
      <x:c r="G330" s="7"/>
    </x:row>
    <x:row r="331">
      <x:c r="G331" s="7"/>
    </x:row>
    <x:row r="332">
      <x:c r="G332" s="7"/>
    </x:row>
    <x:row r="333">
      <x:c r="G333" s="7"/>
    </x:row>
    <x:row r="334">
      <x:c r="G334" s="7"/>
    </x:row>
    <x:row r="335">
      <x:c r="G335" s="7"/>
    </x:row>
    <x:row r="336">
      <x:c r="G336" s="7"/>
    </x:row>
    <x:row r="337">
      <x:c r="G337" s="7"/>
    </x:row>
    <x:row r="338">
      <x:c r="G338" s="7"/>
    </x:row>
    <x:row r="339">
      <x:c r="G339" s="7"/>
    </x:row>
    <x:row r="340">
      <x:c r="G340" s="7"/>
    </x:row>
    <x:row r="341">
      <x:c r="G341" s="7"/>
    </x:row>
    <x:row r="342">
      <x:c r="G342" s="7"/>
    </x:row>
    <x:row r="343">
      <x:c r="G343" s="7"/>
    </x:row>
    <x:row r="344">
      <x:c r="G344" s="7"/>
    </x:row>
    <x:row r="345">
      <x:c r="G345" s="7"/>
    </x:row>
    <x:row r="346">
      <x:c r="G346" s="7"/>
    </x:row>
    <x:row r="347">
      <x:c r="G347" s="7"/>
    </x:row>
    <x:row r="348">
      <x:c r="G348" s="7"/>
    </x:row>
    <x:row r="349">
      <x:c r="G349" s="7"/>
    </x:row>
    <x:row r="350">
      <x:c r="G350" s="7"/>
    </x:row>
    <x:row r="351">
      <x:c r="G351" s="7"/>
    </x:row>
    <x:row r="352">
      <x:c r="G352" s="7"/>
    </x:row>
    <x:row r="353">
      <x:c r="G353" s="7"/>
    </x:row>
    <x:row r="354">
      <x:c r="G354" s="7"/>
    </x:row>
    <x:row r="355">
      <x:c r="G355" s="7"/>
    </x:row>
    <x:row r="356">
      <x:c r="G356" s="7"/>
    </x:row>
    <x:row r="357">
      <x:c r="G357" s="7"/>
    </x:row>
    <x:row r="358">
      <x:c r="G358" s="7"/>
    </x:row>
    <x:row r="359">
      <x:c r="G359" s="7"/>
    </x:row>
    <x:row r="360">
      <x:c r="G360" s="7"/>
    </x:row>
    <x:row r="361">
      <x:c r="G361" s="7"/>
    </x:row>
    <x:row r="362">
      <x:c r="G362" s="7"/>
    </x:row>
    <x:row r="363">
      <x:c r="G363" s="7"/>
    </x:row>
    <x:row r="364">
      <x:c r="G364" s="7"/>
    </x:row>
    <x:row r="365">
      <x:c r="G365" s="7"/>
    </x:row>
    <x:row r="366">
      <x:c r="G366" s="7"/>
    </x:row>
    <x:row r="367">
      <x:c r="G367" s="7"/>
    </x:row>
    <x:row r="368">
      <x:c r="G368" s="7"/>
    </x:row>
    <x:row r="369">
      <x:c r="G369" s="7"/>
    </x:row>
    <x:row r="370">
      <x:c r="G370" s="7"/>
    </x:row>
    <x:row r="371">
      <x:c r="G371" s="7"/>
    </x:row>
    <x:row r="372">
      <x:c r="G372" s="7"/>
    </x:row>
    <x:row r="373">
      <x:c r="G373" s="7"/>
    </x:row>
    <x:row r="374">
      <x:c r="G374" s="7"/>
    </x:row>
    <x:row r="375">
      <x:c r="G375" s="7"/>
    </x:row>
    <x:row r="376">
      <x:c r="G376" s="7"/>
    </x:row>
    <x:row r="377">
      <x:c r="G377" s="7"/>
    </x:row>
    <x:row r="378">
      <x:c r="G378" s="7"/>
    </x:row>
    <x:row r="379">
      <x:c r="G379" s="7"/>
    </x:row>
    <x:row r="380">
      <x:c r="G380" s="7"/>
    </x:row>
    <x:row r="381">
      <x:c r="G381" s="7"/>
    </x:row>
    <x:row r="382">
      <x:c r="G382" s="7"/>
    </x:row>
    <x:row r="383">
      <x:c r="G383" s="7"/>
    </x:row>
    <x:row r="384">
      <x:c r="G384" s="7"/>
    </x:row>
    <x:row r="385">
      <x:c r="G385" s="7"/>
    </x:row>
    <x:row r="386">
      <x:c r="G386" s="7"/>
    </x:row>
    <x:row r="387">
      <x:c r="G387" s="7"/>
    </x:row>
    <x:row r="388">
      <x:c r="G388" s="7"/>
    </x:row>
    <x:row r="389">
      <x:c r="G389" s="7"/>
    </x:row>
    <x:row r="390">
      <x:c r="G390" s="7"/>
    </x:row>
    <x:row r="391">
      <x:c r="G391" s="7"/>
    </x:row>
    <x:row r="392">
      <x:c r="G392" s="7"/>
    </x:row>
    <x:row r="393">
      <x:c r="G393" s="7"/>
    </x:row>
    <x:row r="394">
      <x:c r="G394" s="7"/>
    </x:row>
    <x:row r="395">
      <x:c r="G395" s="7"/>
    </x:row>
    <x:row r="396">
      <x:c r="G396" s="7"/>
    </x:row>
    <x:row r="397">
      <x:c r="G397" s="7"/>
    </x:row>
    <x:row r="398">
      <x:c r="G398" s="7"/>
    </x:row>
    <x:row r="399">
      <x:c r="G399" s="7"/>
    </x:row>
    <x:row r="400">
      <x:c r="G400" s="7"/>
    </x:row>
    <x:row r="401">
      <x:c r="G401" s="7"/>
    </x:row>
    <x:row r="402">
      <x:c r="G402" s="7"/>
    </x:row>
    <x:row r="403">
      <x:c r="G403" s="7"/>
    </x:row>
    <x:row r="404">
      <x:c r="G404" s="7"/>
    </x:row>
    <x:row r="405">
      <x:c r="G405" s="7"/>
    </x:row>
    <x:row r="406">
      <x:c r="G406" s="7"/>
    </x:row>
    <x:row r="407">
      <x:c r="G407" s="7"/>
    </x:row>
    <x:row r="408">
      <x:c r="G408" s="7"/>
    </x:row>
    <x:row r="409">
      <x:c r="G409" s="7"/>
    </x:row>
    <x:row r="410">
      <x:c r="G410" s="7"/>
    </x:row>
    <x:row r="411">
      <x:c r="G411" s="7"/>
    </x:row>
    <x:row r="412">
      <x:c r="G412" s="7"/>
    </x:row>
    <x:row r="413">
      <x:c r="G413" s="7"/>
    </x:row>
    <x:row r="414">
      <x:c r="G414" s="7"/>
    </x:row>
    <x:row r="415">
      <x:c r="G415" s="7"/>
    </x:row>
    <x:row r="416">
      <x:c r="G416" s="7"/>
    </x:row>
    <x:row r="417">
      <x:c r="G417" s="7"/>
    </x:row>
    <x:row r="418">
      <x:c r="G418" s="7"/>
    </x:row>
    <x:row r="419">
      <x:c r="G419" s="7"/>
    </x:row>
    <x:row r="420">
      <x:c r="G420" s="7"/>
    </x:row>
    <x:row r="421">
      <x:c r="G421" s="7"/>
    </x:row>
    <x:row r="422">
      <x:c r="G422" s="7"/>
    </x:row>
    <x:row r="423">
      <x:c r="G423" s="7"/>
    </x:row>
    <x:row r="424">
      <x:c r="G424" s="7"/>
    </x:row>
    <x:row r="425">
      <x:c r="G425" s="7"/>
    </x:row>
    <x:row r="426">
      <x:c r="G426" s="7"/>
    </x:row>
    <x:row r="427">
      <x:c r="G427" s="7"/>
    </x:row>
    <x:row r="428">
      <x:c r="G428" s="7"/>
    </x:row>
    <x:row r="429">
      <x:c r="G429" s="7"/>
    </x:row>
    <x:row r="430">
      <x:c r="G430" s="7"/>
    </x:row>
    <x:row r="431">
      <x:c r="G431" s="7"/>
    </x:row>
    <x:row r="432">
      <x:c r="G432" s="7"/>
    </x:row>
    <x:row r="433">
      <x:c r="G433" s="7"/>
    </x:row>
    <x:row r="434">
      <x:c r="G434" s="7"/>
    </x:row>
    <x:row r="435">
      <x:c r="G435" s="7"/>
    </x:row>
    <x:row r="436">
      <x:c r="G436" s="7"/>
    </x:row>
    <x:row r="437">
      <x:c r="G437" s="7"/>
    </x:row>
    <x:row r="438">
      <x:c r="G438" s="7"/>
    </x:row>
    <x:row r="439">
      <x:c r="G439" s="7"/>
    </x:row>
    <x:row r="440">
      <x:c r="G440" s="7"/>
    </x:row>
    <x:row r="441">
      <x:c r="G441" s="7"/>
    </x:row>
    <x:row r="442">
      <x:c r="G442" s="7"/>
    </x:row>
    <x:row r="443">
      <x:c r="G443" s="7"/>
    </x:row>
    <x:row r="444">
      <x:c r="G444" s="7"/>
    </x:row>
    <x:row r="445">
      <x:c r="G445" s="7"/>
    </x:row>
    <x:row r="446">
      <x:c r="G446" s="7"/>
    </x:row>
    <x:row r="447">
      <x:c r="G447" s="7"/>
    </x:row>
    <x:row r="448">
      <x:c r="G448" s="7"/>
    </x:row>
    <x:row r="449">
      <x:c r="G449" s="7"/>
    </x:row>
    <x:row r="450">
      <x:c r="G450" s="7"/>
    </x:row>
    <x:row r="451">
      <x:c r="G451" s="7"/>
    </x:row>
    <x:row r="452">
      <x:c r="G452" s="7"/>
    </x:row>
    <x:row r="453">
      <x:c r="G453" s="7"/>
    </x:row>
    <x:row r="454">
      <x:c r="G454" s="7"/>
    </x:row>
    <x:row r="455">
      <x:c r="G455" s="7"/>
    </x:row>
    <x:row r="456">
      <x:c r="G456" s="7"/>
    </x:row>
    <x:row r="457">
      <x:c r="G457" s="7"/>
    </x:row>
    <x:row r="458">
      <x:c r="G458" s="7"/>
    </x:row>
    <x:row r="459">
      <x:c r="G459" s="7"/>
    </x:row>
    <x:row r="460">
      <x:c r="G460" s="7"/>
    </x:row>
    <x:row r="461">
      <x:c r="G461" s="7"/>
    </x:row>
    <x:row r="462">
      <x:c r="G462" s="7"/>
    </x:row>
    <x:row r="463">
      <x:c r="G463" s="7"/>
    </x:row>
    <x:row r="464">
      <x:c r="G464" s="7"/>
    </x:row>
    <x:row r="465">
      <x:c r="G465" s="7"/>
    </x:row>
    <x:row r="466">
      <x:c r="G466" s="7"/>
    </x:row>
    <x:row r="467">
      <x:c r="G467" s="7"/>
    </x:row>
    <x:row r="468">
      <x:c r="G468" s="7"/>
    </x:row>
    <x:row r="469">
      <x:c r="G469" s="7"/>
    </x:row>
    <x:row r="470">
      <x:c r="G470" s="7"/>
    </x:row>
    <x:row r="471">
      <x:c r="G471" s="7"/>
    </x:row>
    <x:row r="472">
      <x:c r="G472" s="7"/>
    </x:row>
    <x:row r="473">
      <x:c r="G473" s="7"/>
    </x:row>
    <x:row r="474">
      <x:c r="G474" s="7"/>
    </x:row>
    <x:row r="475">
      <x:c r="G475" s="7"/>
    </x:row>
    <x:row r="476">
      <x:c r="G476" s="7"/>
    </x:row>
    <x:row r="477">
      <x:c r="G477" s="7"/>
    </x:row>
    <x:row r="478">
      <x:c r="G478" s="7"/>
    </x:row>
    <x:row r="479">
      <x:c r="G479" s="7"/>
    </x:row>
    <x:row r="480">
      <x:c r="G480" s="7"/>
    </x:row>
    <x:row r="481">
      <x:c r="G481" s="7"/>
    </x:row>
    <x:row r="482">
      <x:c r="G482" s="7"/>
    </x:row>
    <x:row r="483">
      <x:c r="G483" s="7"/>
    </x:row>
    <x:row r="484">
      <x:c r="G484" s="7"/>
    </x:row>
    <x:row r="485">
      <x:c r="G485" s="7"/>
    </x:row>
    <x:row r="486">
      <x:c r="G486" s="7"/>
    </x:row>
    <x:row r="487">
      <x:c r="G487" s="7"/>
    </x:row>
    <x:row r="488">
      <x:c r="G488" s="7"/>
    </x:row>
    <x:row r="489">
      <x:c r="G489" s="7"/>
    </x:row>
    <x:row r="490">
      <x:c r="G490" s="7"/>
    </x:row>
    <x:row r="491">
      <x:c r="G491" s="7"/>
    </x:row>
    <x:row r="492">
      <x:c r="G492" s="7"/>
    </x:row>
    <x:row r="493">
      <x:c r="G493" s="7"/>
    </x:row>
    <x:row r="494">
      <x:c r="G494" s="7"/>
    </x:row>
    <x:row r="495">
      <x:c r="G495" s="7"/>
    </x:row>
    <x:row r="496">
      <x:c r="G496" s="7"/>
    </x:row>
    <x:row r="497">
      <x:c r="G497" s="7"/>
    </x:row>
    <x:row r="498">
      <x:c r="G498" s="7"/>
    </x:row>
    <x:row r="499">
      <x:c r="G499" s="7"/>
    </x:row>
    <x:row r="500">
      <x:c r="G500" s="7"/>
    </x:row>
    <x:row r="501">
      <x:c r="G501" s="7"/>
    </x:row>
    <x:row r="502">
      <x:c r="G502" s="7"/>
    </x:row>
    <x:row r="503">
      <x:c r="G503" s="7"/>
    </x:row>
    <x:row r="504">
      <x:c r="G504" s="7"/>
    </x:row>
    <x:row r="505">
      <x:c r="G505" s="7"/>
    </x:row>
    <x:row r="506">
      <x:c r="G506" s="7"/>
    </x:row>
    <x:row r="507">
      <x:c r="G507" s="7"/>
    </x:row>
    <x:row r="508">
      <x:c r="G508" s="7"/>
    </x:row>
    <x:row r="509">
      <x:c r="G509" s="7"/>
    </x:row>
    <x:row r="510">
      <x:c r="G510" s="7"/>
    </x:row>
    <x:row r="511">
      <x:c r="G511" s="7"/>
    </x:row>
    <x:row r="512">
      <x:c r="G512" s="7"/>
    </x:row>
    <x:row r="513">
      <x:c r="G513" s="7"/>
    </x:row>
    <x:row r="514">
      <x:c r="G514" s="7"/>
    </x:row>
    <x:row r="515">
      <x:c r="G515" s="7"/>
    </x:row>
    <x:row r="516">
      <x:c r="G516" s="7"/>
    </x:row>
    <x:row r="517">
      <x:c r="G517" s="7"/>
    </x:row>
    <x:row r="518">
      <x:c r="G518" s="7"/>
    </x:row>
    <x:row r="519">
      <x:c r="G519" s="7"/>
    </x:row>
    <x:row r="520">
      <x:c r="G520" s="7"/>
    </x:row>
    <x:row r="521">
      <x:c r="G521" s="7"/>
    </x:row>
    <x:row r="522">
      <x:c r="G522" s="7"/>
    </x:row>
    <x:row r="523">
      <x:c r="G523" s="7"/>
    </x:row>
    <x:row r="524">
      <x:c r="G524" s="7"/>
    </x:row>
    <x:row r="525">
      <x:c r="G525" s="7"/>
    </x:row>
    <x:row r="526">
      <x:c r="G526" s="7"/>
    </x:row>
    <x:row r="527">
      <x:c r="G527" s="7"/>
    </x:row>
    <x:row r="528">
      <x:c r="G528" s="7"/>
    </x:row>
    <x:row r="529">
      <x:c r="G529" s="7"/>
    </x:row>
    <x:row r="530">
      <x:c r="G530" s="7"/>
    </x:row>
    <x:row r="531">
      <x:c r="G531" s="7"/>
    </x:row>
    <x:row r="532">
      <x:c r="G532" s="7"/>
    </x:row>
    <x:row r="533">
      <x:c r="G533" s="7"/>
    </x:row>
    <x:row r="534">
      <x:c r="G534" s="7"/>
    </x:row>
    <x:row r="535">
      <x:c r="G535" s="7"/>
    </x:row>
    <x:row r="536">
      <x:c r="G536" s="7"/>
    </x:row>
    <x:row r="537">
      <x:c r="G537" s="7"/>
    </x:row>
    <x:row r="538">
      <x:c r="G538" s="7"/>
    </x:row>
    <x:row r="539">
      <x:c r="G539" s="7"/>
    </x:row>
    <x:row r="540">
      <x:c r="G540" s="7"/>
    </x:row>
    <x:row r="541">
      <x:c r="G541" s="7"/>
    </x:row>
    <x:row r="542">
      <x:c r="G542" s="7"/>
    </x:row>
    <x:row r="543">
      <x:c r="G543" s="7"/>
    </x:row>
    <x:row r="544">
      <x:c r="G544" s="7"/>
    </x:row>
    <x:row r="545">
      <x:c r="G545" s="7"/>
    </x:row>
    <x:row r="546">
      <x:c r="G546" s="7"/>
    </x:row>
    <x:row r="547">
      <x:c r="G547" s="7"/>
    </x:row>
    <x:row r="548">
      <x:c r="G548" s="7"/>
    </x:row>
    <x:row r="549">
      <x:c r="G549" s="7"/>
    </x:row>
    <x:row r="550">
      <x:c r="G550" s="7"/>
    </x:row>
    <x:row r="551">
      <x:c r="G551" s="7"/>
    </x:row>
    <x:row r="552">
      <x:c r="G552" s="7"/>
    </x:row>
    <x:row r="553">
      <x:c r="G553" s="7"/>
    </x:row>
    <x:row r="554">
      <x:c r="G554" s="7"/>
    </x:row>
    <x:row r="555">
      <x:c r="G555" s="7"/>
    </x:row>
    <x:row r="556">
      <x:c r="G556" s="7"/>
    </x:row>
    <x:row r="557">
      <x:c r="G557" s="7"/>
    </x:row>
    <x:row r="558">
      <x:c r="G558" s="7"/>
    </x:row>
    <x:row r="559">
      <x:c r="G559" s="7"/>
    </x:row>
    <x:row r="560">
      <x:c r="G560" s="7"/>
    </x:row>
    <x:row r="561">
      <x:c r="G561" s="7"/>
    </x:row>
    <x:row r="562">
      <x:c r="G562" s="7"/>
    </x:row>
    <x:row r="563">
      <x:c r="G563" s="7"/>
    </x:row>
    <x:row r="564">
      <x:c r="G564" s="7"/>
    </x:row>
    <x:row r="565">
      <x:c r="G565" s="7"/>
    </x:row>
    <x:row r="566">
      <x:c r="G566" s="7"/>
    </x:row>
    <x:row r="567">
      <x:c r="G567" s="7"/>
    </x:row>
    <x:row r="568">
      <x:c r="G568" s="7"/>
    </x:row>
    <x:row r="569">
      <x:c r="G569" s="7"/>
    </x:row>
    <x:row r="570">
      <x:c r="G570" s="7"/>
    </x:row>
    <x:row r="571">
      <x:c r="G571" s="7"/>
    </x:row>
    <x:row r="572">
      <x:c r="G572" s="7"/>
    </x:row>
    <x:row r="573">
      <x:c r="G573" s="7"/>
    </x:row>
    <x:row r="574">
      <x:c r="G574" s="7"/>
    </x:row>
    <x:row r="575">
      <x:c r="G575" s="7"/>
    </x:row>
    <x:row r="576">
      <x:c r="G576" s="7"/>
    </x:row>
    <x:row r="577">
      <x:c r="G577" s="7"/>
    </x:row>
    <x:row r="578">
      <x:c r="G578" s="7"/>
    </x:row>
    <x:row r="579">
      <x:c r="G579" s="7"/>
    </x:row>
    <x:row r="580">
      <x:c r="G580" s="7"/>
    </x:row>
    <x:row r="581">
      <x:c r="G581" s="7"/>
    </x:row>
    <x:row r="582">
      <x:c r="G582" s="7"/>
    </x:row>
    <x:row r="583">
      <x:c r="G583" s="7"/>
    </x:row>
    <x:row r="584">
      <x:c r="G584" s="7"/>
    </x:row>
    <x:row r="585">
      <x:c r="G585" s="7"/>
    </x:row>
    <x:row r="586">
      <x:c r="G586" s="7"/>
    </x:row>
    <x:row r="587">
      <x:c r="G587" s="7"/>
    </x:row>
    <x:row r="588">
      <x:c r="G588" s="7"/>
    </x:row>
    <x:row r="589">
      <x:c r="G589" s="7"/>
    </x:row>
    <x:row r="590">
      <x:c r="G590" s="7"/>
    </x:row>
    <x:row r="591">
      <x:c r="G591" s="7"/>
    </x:row>
    <x:row r="592">
      <x:c r="G592" s="7"/>
    </x:row>
    <x:row r="593">
      <x:c r="G593" s="7"/>
    </x:row>
    <x:row r="594">
      <x:c r="G594" s="7"/>
    </x:row>
    <x:row r="595">
      <x:c r="G595" s="7"/>
    </x:row>
    <x:row r="596">
      <x:c r="G596" s="7"/>
    </x:row>
    <x:row r="597">
      <x:c r="G597" s="7"/>
    </x:row>
    <x:row r="598">
      <x:c r="G598" s="7"/>
    </x:row>
    <x:row r="599">
      <x:c r="G599" s="7"/>
    </x:row>
    <x:row r="600">
      <x:c r="G600" s="7"/>
    </x:row>
    <x:row r="601">
      <x:c r="G601" s="7"/>
    </x:row>
    <x:row r="602">
      <x:c r="G602" s="7"/>
    </x:row>
    <x:row r="603">
      <x:c r="G603" s="7"/>
    </x:row>
    <x:row r="604">
      <x:c r="G604" s="7"/>
    </x:row>
    <x:row r="605">
      <x:c r="G605" s="7"/>
    </x:row>
    <x:row r="606">
      <x:c r="G606" s="7"/>
    </x:row>
    <x:row r="607">
      <x:c r="G607" s="7"/>
    </x:row>
    <x:row r="608">
      <x:c r="G608" s="7"/>
    </x:row>
    <x:row r="609">
      <x:c r="G609" s="7"/>
    </x:row>
    <x:row r="610">
      <x:c r="G610" s="7"/>
    </x:row>
    <x:row r="611">
      <x:c r="G611" s="7"/>
    </x:row>
    <x:row r="612">
      <x:c r="G612" s="7"/>
    </x:row>
    <x:row r="613">
      <x:c r="G613" s="7"/>
    </x:row>
    <x:row r="614">
      <x:c r="G614" s="7"/>
    </x:row>
    <x:row r="615">
      <x:c r="G615" s="7"/>
    </x:row>
    <x:row r="616">
      <x:c r="G616" s="7"/>
    </x:row>
    <x:row r="617">
      <x:c r="G617" s="7"/>
    </x:row>
    <x:row r="618">
      <x:c r="G618" s="7"/>
    </x:row>
    <x:row r="619">
      <x:c r="G619" s="7"/>
    </x:row>
    <x:row r="620">
      <x:c r="G620" s="7"/>
    </x:row>
    <x:row r="621">
      <x:c r="G621" s="7"/>
    </x:row>
    <x:row r="622">
      <x:c r="G622" s="7"/>
    </x:row>
    <x:row r="623">
      <x:c r="G623" s="7"/>
    </x:row>
    <x:row r="624">
      <x:c r="G624" s="7"/>
    </x:row>
    <x:row r="625">
      <x:c r="G625" s="7"/>
    </x:row>
    <x:row r="626">
      <x:c r="G626" s="7"/>
    </x:row>
    <x:row r="627">
      <x:c r="G627" s="7"/>
    </x:row>
    <x:row r="628">
      <x:c r="G628" s="7"/>
    </x:row>
    <x:row r="629">
      <x:c r="G629" s="7"/>
    </x:row>
    <x:row r="630">
      <x:c r="G630" s="7"/>
    </x:row>
    <x:row r="631">
      <x:c r="G631" s="7"/>
    </x:row>
    <x:row r="632">
      <x:c r="G632" s="7"/>
    </x:row>
    <x:row r="633">
      <x:c r="G633" s="7"/>
    </x:row>
    <x:row r="634">
      <x:c r="G634" s="7"/>
    </x:row>
    <x:row r="635">
      <x:c r="G635" s="7"/>
    </x:row>
    <x:row r="636">
      <x:c r="G636" s="7"/>
    </x:row>
    <x:row r="637">
      <x:c r="G637" s="7"/>
    </x:row>
    <x:row r="638">
      <x:c r="G638" s="7"/>
    </x:row>
    <x:row r="639">
      <x:c r="G639" s="7"/>
    </x:row>
    <x:row r="640">
      <x:c r="G640" s="7"/>
    </x:row>
    <x:row r="641">
      <x:c r="G641" s="7"/>
    </x:row>
    <x:row r="642">
      <x:c r="G642" s="7"/>
    </x:row>
    <x:row r="643">
      <x:c r="G643" s="7"/>
    </x:row>
    <x:row r="644">
      <x:c r="G644" s="7"/>
    </x:row>
    <x:row r="645">
      <x:c r="G645" s="7"/>
    </x:row>
    <x:row r="646">
      <x:c r="G646" s="7"/>
    </x:row>
    <x:row r="647">
      <x:c r="G647" s="7"/>
    </x:row>
    <x:row r="648">
      <x:c r="G648" s="7"/>
    </x:row>
    <x:row r="649">
      <x:c r="G649" s="7"/>
    </x:row>
    <x:row r="650">
      <x:c r="G650" s="7"/>
    </x:row>
    <x:row r="651">
      <x:c r="G651" s="7"/>
    </x:row>
    <x:row r="652">
      <x:c r="G652" s="7"/>
    </x:row>
    <x:row r="653">
      <x:c r="G653" s="7"/>
    </x:row>
    <x:row r="654">
      <x:c r="G654" s="7"/>
    </x:row>
    <x:row r="655">
      <x:c r="G655" s="7"/>
    </x:row>
    <x:row r="656">
      <x:c r="G656" s="7"/>
    </x:row>
    <x:row r="657">
      <x:c r="G657" s="7"/>
    </x:row>
    <x:row r="658">
      <x:c r="G658" s="7"/>
    </x:row>
    <x:row r="659">
      <x:c r="G659" s="7"/>
    </x:row>
    <x:row r="660">
      <x:c r="G660" s="7"/>
    </x:row>
    <x:row r="661">
      <x:c r="G661" s="7"/>
    </x:row>
    <x:row r="662">
      <x:c r="G662" s="7"/>
    </x:row>
    <x:row r="663">
      <x:c r="G663" s="7"/>
    </x:row>
    <x:row r="664">
      <x:c r="G664" s="7"/>
    </x:row>
    <x:row r="665">
      <x:c r="G665" s="7"/>
    </x:row>
    <x:row r="666">
      <x:c r="G666" s="7"/>
    </x:row>
    <x:row r="667">
      <x:c r="G667" s="7"/>
    </x:row>
    <x:row r="668">
      <x:c r="G668" s="7"/>
    </x:row>
    <x:row r="669">
      <x:c r="G669" s="7"/>
    </x:row>
    <x:row r="670">
      <x:c r="G670" s="7"/>
    </x:row>
    <x:row r="671">
      <x:c r="G671" s="7"/>
    </x:row>
    <x:row r="672">
      <x:c r="G672" s="7"/>
    </x:row>
    <x:row r="673">
      <x:c r="G673" s="7"/>
    </x:row>
    <x:row r="674">
      <x:c r="G674" s="7"/>
    </x:row>
    <x:row r="675">
      <x:c r="G675" s="7"/>
    </x:row>
    <x:row r="676">
      <x:c r="G676" s="7"/>
    </x:row>
    <x:row r="677">
      <x:c r="G677" s="7"/>
    </x:row>
    <x:row r="678">
      <x:c r="G678" s="7"/>
    </x:row>
    <x:row r="679">
      <x:c r="G679" s="7"/>
    </x:row>
    <x:row r="680">
      <x:c r="G680" s="7"/>
    </x:row>
    <x:row r="681">
      <x:c r="G681" s="7"/>
    </x:row>
    <x:row r="682">
      <x:c r="G682" s="7"/>
    </x:row>
    <x:row r="683">
      <x:c r="G683" s="7"/>
    </x:row>
    <x:row r="684">
      <x:c r="G684" s="7"/>
    </x:row>
    <x:row r="685">
      <x:c r="G685" s="7"/>
    </x:row>
    <x:row r="686">
      <x:c r="G686" s="7"/>
    </x:row>
    <x:row r="687">
      <x:c r="G687" s="7"/>
    </x:row>
    <x:row r="688">
      <x:c r="G688" s="7"/>
    </x:row>
    <x:row r="689">
      <x:c r="G689" s="7"/>
    </x:row>
    <x:row r="690">
      <x:c r="G690" s="7"/>
    </x:row>
    <x:row r="691">
      <x:c r="G691" s="7"/>
    </x:row>
    <x:row r="692">
      <x:c r="G692" s="7"/>
    </x:row>
    <x:row r="693">
      <x:c r="G693" s="7"/>
    </x:row>
    <x:row r="694">
      <x:c r="G694" s="7"/>
    </x:row>
    <x:row r="695">
      <x:c r="G695" s="7"/>
    </x:row>
    <x:row r="696">
      <x:c r="G696" s="7"/>
    </x:row>
    <x:row r="697">
      <x:c r="G697" s="7"/>
    </x:row>
    <x:row r="698">
      <x:c r="G698" s="7"/>
    </x:row>
    <x:row r="699">
      <x:c r="G699" s="7"/>
    </x:row>
    <x:row r="700">
      <x:c r="G700" s="7"/>
    </x:row>
    <x:row r="701">
      <x:c r="G701" s="7"/>
    </x:row>
    <x:row r="702">
      <x:c r="G702" s="7"/>
    </x:row>
    <x:row r="703">
      <x:c r="G703" s="7"/>
    </x:row>
    <x:row r="704">
      <x:c r="G704" s="7"/>
    </x:row>
    <x:row r="705">
      <x:c r="G705" s="7"/>
    </x:row>
    <x:row r="706">
      <x:c r="G706" s="7"/>
    </x:row>
    <x:row r="707">
      <x:c r="G707" s="7"/>
    </x:row>
    <x:row r="708">
      <x:c r="G708" s="7"/>
    </x:row>
    <x:row r="709">
      <x:c r="G709" s="7"/>
    </x:row>
    <x:row r="710">
      <x:c r="G710" s="7"/>
    </x:row>
    <x:row r="711">
      <x:c r="G711" s="7"/>
    </x:row>
    <x:row r="712">
      <x:c r="G712" s="7"/>
    </x:row>
    <x:row r="713">
      <x:c r="G713" s="7"/>
    </x:row>
    <x:row r="714">
      <x:c r="G714" s="7"/>
    </x:row>
    <x:row r="715">
      <x:c r="G715" s="7"/>
    </x:row>
    <x:row r="716">
      <x:c r="G716" s="7"/>
    </x:row>
    <x:row r="717">
      <x:c r="G717" s="7"/>
    </x:row>
    <x:row r="718">
      <x:c r="G718" s="7"/>
    </x:row>
    <x:row r="719">
      <x:c r="G719" s="7"/>
    </x:row>
    <x:row r="720">
      <x:c r="G720" s="7"/>
    </x:row>
    <x:row r="721">
      <x:c r="G721" s="7"/>
    </x:row>
    <x:row r="722">
      <x:c r="G722" s="7"/>
    </x:row>
    <x:row r="723">
      <x:c r="G723" s="7"/>
    </x:row>
    <x:row r="724">
      <x:c r="G724" s="7"/>
    </x:row>
    <x:row r="725">
      <x:c r="G725" s="7"/>
    </x:row>
    <x:row r="726">
      <x:c r="G726" s="7"/>
    </x:row>
    <x:row r="727">
      <x:c r="G727" s="7"/>
    </x:row>
    <x:row r="728">
      <x:c r="G728" s="7"/>
    </x:row>
    <x:row r="729">
      <x:c r="G729" s="7"/>
    </x:row>
    <x:row r="730">
      <x:c r="G730" s="7"/>
    </x:row>
    <x:row r="731">
      <x:c r="G731" s="7"/>
    </x:row>
    <x:row r="732">
      <x:c r="G732" s="7"/>
    </x:row>
    <x:row r="733">
      <x:c r="G733" s="7"/>
    </x:row>
    <x:row r="734">
      <x:c r="G734" s="7"/>
    </x:row>
    <x:row r="735">
      <x:c r="G735" s="7"/>
    </x:row>
    <x:row r="736">
      <x:c r="G736" s="7"/>
    </x:row>
    <x:row r="737">
      <x:c r="G737" s="7"/>
    </x:row>
    <x:row r="738">
      <x:c r="G738" s="7"/>
    </x:row>
    <x:row r="739">
      <x:c r="G739" s="7"/>
    </x:row>
    <x:row r="740">
      <x:c r="G740" s="7"/>
    </x:row>
    <x:row r="741">
      <x:c r="G741" s="7"/>
    </x:row>
    <x:row r="742">
      <x:c r="G742" s="7"/>
    </x:row>
    <x:row r="743">
      <x:c r="G743" s="7"/>
    </x:row>
    <x:row r="744">
      <x:c r="G744" s="7"/>
    </x:row>
    <x:row r="745">
      <x:c r="G745" s="7"/>
    </x:row>
    <x:row r="746">
      <x:c r="G746" s="7"/>
    </x:row>
    <x:row r="747">
      <x:c r="G747" s="7"/>
    </x:row>
    <x:row r="748">
      <x:c r="G748" s="7"/>
    </x:row>
    <x:row r="749">
      <x:c r="G749" s="7"/>
    </x:row>
    <x:row r="750">
      <x:c r="G750" s="7"/>
    </x:row>
    <x:row r="751">
      <x:c r="G751" s="7"/>
    </x:row>
    <x:row r="752">
      <x:c r="G752" s="7"/>
    </x:row>
    <x:row r="753">
      <x:c r="G753" s="7"/>
    </x:row>
    <x:row r="754">
      <x:c r="G754" s="7"/>
    </x:row>
    <x:row r="755">
      <x:c r="G755" s="7"/>
    </x:row>
    <x:row r="756">
      <x:c r="G756" s="7"/>
    </x:row>
    <x:row r="757">
      <x:c r="G757" s="7"/>
    </x:row>
    <x:row r="758">
      <x:c r="G758" s="7"/>
    </x:row>
    <x:row r="759">
      <x:c r="G759" s="7"/>
    </x:row>
    <x:row r="760">
      <x:c r="G760" s="7"/>
    </x:row>
    <x:row r="761">
      <x:c r="G761" s="7"/>
    </x:row>
    <x:row r="762">
      <x:c r="G762" s="7"/>
    </x:row>
    <x:row r="763">
      <x:c r="G763" s="7"/>
    </x:row>
    <x:row r="764">
      <x:c r="G764" s="7"/>
    </x:row>
    <x:row r="765">
      <x:c r="G765" s="7"/>
    </x:row>
    <x:row r="766">
      <x:c r="G766" s="7"/>
    </x:row>
    <x:row r="767">
      <x:c r="G767" s="7"/>
    </x:row>
    <x:row r="768">
      <x:c r="G768" s="7"/>
    </x:row>
    <x:row r="769">
      <x:c r="G769" s="7"/>
    </x:row>
    <x:row r="770">
      <x:c r="G770" s="7"/>
    </x:row>
    <x:row r="771">
      <x:c r="G771" s="7"/>
    </x:row>
    <x:row r="772">
      <x:c r="G772" s="7"/>
    </x:row>
    <x:row r="773">
      <x:c r="G773" s="7"/>
    </x:row>
    <x:row r="774">
      <x:c r="G774" s="7"/>
    </x:row>
    <x:row r="775">
      <x:c r="G775" s="7"/>
    </x:row>
    <x:row r="776">
      <x:c r="G776" s="7"/>
    </x:row>
    <x:row r="777">
      <x:c r="G777" s="7"/>
    </x:row>
    <x:row r="778">
      <x:c r="G778" s="7"/>
    </x:row>
    <x:row r="779">
      <x:c r="G779" s="7"/>
    </x:row>
    <x:row r="780">
      <x:c r="G780" s="7"/>
    </x:row>
    <x:row r="781">
      <x:c r="G781" s="7"/>
    </x:row>
    <x:row r="782">
      <x:c r="G782" s="7"/>
    </x:row>
    <x:row r="783">
      <x:c r="G783" s="7"/>
    </x:row>
    <x:row r="784">
      <x:c r="G784" s="7"/>
    </x:row>
    <x:row r="785">
      <x:c r="G785" s="7"/>
    </x:row>
    <x:row r="786">
      <x:c r="G786" s="7"/>
    </x:row>
    <x:row r="787">
      <x:c r="G787" s="7"/>
    </x:row>
    <x:row r="788">
      <x:c r="G788" s="7"/>
    </x:row>
    <x:row r="789">
      <x:c r="G789" s="7"/>
    </x:row>
    <x:row r="790">
      <x:c r="G790" s="7"/>
    </x:row>
    <x:row r="791">
      <x:c r="G791" s="7"/>
    </x:row>
    <x:row r="792">
      <x:c r="G792" s="7"/>
    </x:row>
    <x:row r="793">
      <x:c r="G793" s="7"/>
    </x:row>
    <x:row r="794">
      <x:c r="G794" s="7"/>
    </x:row>
    <x:row r="795">
      <x:c r="G795" s="7"/>
    </x:row>
    <x:row r="796">
      <x:c r="G796" s="7"/>
    </x:row>
    <x:row r="797">
      <x:c r="G797" s="7"/>
    </x:row>
    <x:row r="798">
      <x:c r="G798" s="7"/>
    </x:row>
    <x:row r="799">
      <x:c r="G799" s="7"/>
    </x:row>
    <x:row r="800">
      <x:c r="G800" s="7"/>
    </x:row>
    <x:row r="801">
      <x:c r="G801" s="7"/>
    </x:row>
    <x:row r="802">
      <x:c r="G802" s="7"/>
    </x:row>
    <x:row r="803">
      <x:c r="G803" s="7"/>
    </x:row>
    <x:row r="804">
      <x:c r="G804" s="7"/>
    </x:row>
    <x:row r="805">
      <x:c r="G805" s="7"/>
    </x:row>
    <x:row r="806">
      <x:c r="G806" s="7"/>
    </x:row>
    <x:row r="807">
      <x:c r="G807" s="7"/>
    </x:row>
    <x:row r="808">
      <x:c r="G808" s="7"/>
    </x:row>
    <x:row r="809">
      <x:c r="G809" s="7"/>
    </x:row>
    <x:row r="810">
      <x:c r="G810" s="7"/>
    </x:row>
    <x:row r="811">
      <x:c r="G811" s="7"/>
    </x:row>
    <x:row r="812">
      <x:c r="G812" s="7"/>
    </x:row>
    <x:row r="813">
      <x:c r="G813" s="7"/>
    </x:row>
    <x:row r="814">
      <x:c r="G814" s="7"/>
    </x:row>
    <x:row r="815">
      <x:c r="G815" s="7"/>
    </x:row>
    <x:row r="816">
      <x:c r="G816" s="7"/>
    </x:row>
    <x:row r="817">
      <x:c r="G817" s="7"/>
    </x:row>
    <x:row r="818">
      <x:c r="G818" s="7"/>
    </x:row>
    <x:row r="819">
      <x:c r="G819" s="7"/>
    </x:row>
    <x:row r="820">
      <x:c r="G820" s="7"/>
    </x:row>
    <x:row r="821">
      <x:c r="G821" s="7"/>
    </x:row>
    <x:row r="822">
      <x:c r="G822" s="7"/>
    </x:row>
    <x:row r="823">
      <x:c r="G823" s="7"/>
    </x:row>
    <x:row r="824">
      <x:c r="G824" s="7"/>
    </x:row>
    <x:row r="825">
      <x:c r="G825" s="7"/>
    </x:row>
    <x:row r="826">
      <x:c r="G826" s="7"/>
    </x:row>
    <x:row r="827">
      <x:c r="G827" s="7"/>
    </x:row>
    <x:row r="828">
      <x:c r="G828" s="7"/>
    </x:row>
    <x:row r="829">
      <x:c r="G829" s="7"/>
    </x:row>
    <x:row r="830">
      <x:c r="G830" s="7"/>
    </x:row>
    <x:row r="831">
      <x:c r="G831" s="7"/>
    </x:row>
    <x:row r="832">
      <x:c r="G832" s="7"/>
    </x:row>
    <x:row r="833">
      <x:c r="G833" s="7"/>
    </x:row>
    <x:row r="834">
      <x:c r="G834" s="7"/>
    </x:row>
    <x:row r="835">
      <x:c r="G835" s="7"/>
    </x:row>
    <x:row r="836">
      <x:c r="G836" s="7"/>
    </x:row>
    <x:row r="837">
      <x:c r="G837" s="7"/>
    </x:row>
    <x:row r="838">
      <x:c r="G838" s="7"/>
    </x:row>
    <x:row r="839">
      <x:c r="G839" s="7"/>
    </x:row>
    <x:row r="840">
      <x:c r="G840" s="7"/>
    </x:row>
    <x:row r="841">
      <x:c r="G841" s="7"/>
    </x:row>
    <x:row r="842">
      <x:c r="G842" s="7"/>
    </x:row>
    <x:row r="843">
      <x:c r="G843" s="7"/>
    </x:row>
    <x:row r="844">
      <x:c r="G844" s="7"/>
    </x:row>
    <x:row r="845">
      <x:c r="G845" s="7"/>
    </x:row>
    <x:row r="846">
      <x:c r="G846" s="7"/>
    </x:row>
    <x:row r="847">
      <x:c r="G847" s="7"/>
    </x:row>
    <x:row r="848">
      <x:c r="G848" s="7"/>
    </x:row>
    <x:row r="849">
      <x:c r="G849" s="7"/>
    </x:row>
    <x:row r="850">
      <x:c r="G850" s="7"/>
    </x:row>
    <x:row r="851">
      <x:c r="G851" s="7"/>
    </x:row>
    <x:row r="852">
      <x:c r="G852" s="7"/>
    </x:row>
    <x:row r="853">
      <x:c r="G853" s="7"/>
    </x:row>
    <x:row r="854">
      <x:c r="G854" s="7"/>
    </x:row>
    <x:row r="855">
      <x:c r="G855" s="7"/>
    </x:row>
    <x:row r="856">
      <x:c r="G856" s="7"/>
    </x:row>
    <x:row r="857">
      <x:c r="G857" s="7"/>
    </x:row>
    <x:row r="858">
      <x:c r="G858" s="7"/>
    </x:row>
    <x:row r="859">
      <x:c r="G859" s="7"/>
    </x:row>
    <x:row r="860">
      <x:c r="G860" s="7"/>
    </x:row>
    <x:row r="861">
      <x:c r="G861" s="7"/>
    </x:row>
    <x:row r="862">
      <x:c r="G862" s="7"/>
    </x:row>
    <x:row r="863">
      <x:c r="G863" s="7"/>
    </x:row>
    <x:row r="864">
      <x:c r="G864" s="7"/>
    </x:row>
    <x:row r="865">
      <x:c r="G865" s="7"/>
    </x:row>
    <x:row r="866">
      <x:c r="G866" s="7"/>
    </x:row>
    <x:row r="867">
      <x:c r="G867" s="7"/>
    </x:row>
    <x:row r="868">
      <x:c r="G868" s="7"/>
    </x:row>
    <x:row r="869">
      <x:c r="G869" s="7"/>
    </x:row>
    <x:row r="870">
      <x:c r="G870" s="7"/>
    </x:row>
    <x:row r="871">
      <x:c r="G871" s="7"/>
    </x:row>
    <x:row r="872">
      <x:c r="G872" s="7"/>
    </x:row>
    <x:row r="873">
      <x:c r="G873" s="7"/>
    </x:row>
    <x:row r="874">
      <x:c r="G874" s="7"/>
    </x:row>
    <x:row r="875">
      <x:c r="G875" s="7"/>
    </x:row>
    <x:row r="876">
      <x:c r="G876" s="7"/>
    </x:row>
    <x:row r="877">
      <x:c r="G877" s="7"/>
    </x:row>
    <x:row r="878">
      <x:c r="G878" s="7"/>
    </x:row>
    <x:row r="879">
      <x:c r="G879" s="7"/>
    </x:row>
    <x:row r="880">
      <x:c r="G880" s="7"/>
    </x:row>
    <x:row r="881">
      <x:c r="G881" s="7"/>
    </x:row>
    <x:row r="882">
      <x:c r="G882" s="7"/>
    </x:row>
    <x:row r="883">
      <x:c r="G883" s="7"/>
    </x:row>
    <x:row r="884">
      <x:c r="G884" s="7"/>
    </x:row>
    <x:row r="885">
      <x:c r="G885" s="7"/>
    </x:row>
    <x:row r="886">
      <x:c r="G886" s="7"/>
    </x:row>
    <x:row r="887">
      <x:c r="G887" s="7"/>
    </x:row>
    <x:row r="888">
      <x:c r="G888" s="7"/>
    </x:row>
    <x:row r="889">
      <x:c r="G889" s="7"/>
    </x:row>
    <x:row r="890">
      <x:c r="G890" s="7"/>
    </x:row>
    <x:row r="891">
      <x:c r="G891" s="7"/>
    </x:row>
    <x:row r="892">
      <x:c r="G892" s="7"/>
    </x:row>
    <x:row r="893">
      <x:c r="G893" s="7"/>
    </x:row>
    <x:row r="894">
      <x:c r="G894" s="7"/>
    </x:row>
    <x:row r="895">
      <x:c r="G895" s="7"/>
    </x:row>
    <x:row r="896">
      <x:c r="G896" s="7"/>
    </x:row>
    <x:row r="897">
      <x:c r="G897" s="7"/>
    </x:row>
    <x:row r="898">
      <x:c r="G898" s="7"/>
    </x:row>
    <x:row r="899">
      <x:c r="G899" s="7"/>
    </x:row>
    <x:row r="900">
      <x:c r="G900" s="7"/>
    </x:row>
    <x:row r="901">
      <x:c r="G901" s="7"/>
    </x:row>
    <x:row r="902">
      <x:c r="G902" s="7"/>
    </x:row>
    <x:row r="903">
      <x:c r="G903" s="7"/>
    </x:row>
    <x:row r="904">
      <x:c r="G904" s="7"/>
    </x:row>
    <x:row r="905">
      <x:c r="G905" s="7"/>
    </x:row>
    <x:row r="906">
      <x:c r="G906" s="7"/>
    </x:row>
    <x:row r="907">
      <x:c r="G907" s="7"/>
    </x:row>
    <x:row r="908">
      <x:c r="G908" s="7"/>
    </x:row>
    <x:row r="909">
      <x:c r="G909" s="7"/>
    </x:row>
    <x:row r="910">
      <x:c r="G910" s="7"/>
    </x:row>
    <x:row r="911">
      <x:c r="G911" s="7"/>
    </x:row>
    <x:row r="912">
      <x:c r="G912" s="7"/>
    </x:row>
    <x:row r="913">
      <x:c r="G913" s="7"/>
    </x:row>
    <x:row r="914">
      <x:c r="G914" s="7"/>
    </x:row>
    <x:row r="915">
      <x:c r="G915" s="7"/>
    </x:row>
    <x:row r="916">
      <x:c r="G916" s="7"/>
    </x:row>
    <x:row r="917">
      <x:c r="G917" s="7"/>
    </x:row>
    <x:row r="918">
      <x:c r="G918" s="7"/>
    </x:row>
    <x:row r="919">
      <x:c r="G919" s="7"/>
    </x:row>
    <x:row r="920">
      <x:c r="G920" s="7"/>
    </x:row>
    <x:row r="921">
      <x:c r="G921" s="7"/>
    </x:row>
    <x:row r="922">
      <x:c r="G922" s="7"/>
    </x:row>
    <x:row r="923">
      <x:c r="G923" s="7"/>
    </x:row>
    <x:row r="924">
      <x:c r="G924" s="7"/>
    </x:row>
    <x:row r="925">
      <x:c r="G925" s="7"/>
    </x:row>
    <x:row r="926">
      <x:c r="G926" s="7"/>
    </x:row>
    <x:row r="927">
      <x:c r="G927" s="7"/>
    </x:row>
    <x:row r="928">
      <x:c r="G928" s="7"/>
    </x:row>
    <x:row r="929">
      <x:c r="G929" s="7"/>
    </x:row>
    <x:row r="930">
      <x:c r="G930" s="7"/>
    </x:row>
    <x:row r="931">
      <x:c r="G931" s="7"/>
    </x:row>
    <x:row r="932">
      <x:c r="G932" s="7"/>
    </x:row>
    <x:row r="933">
      <x:c r="G933" s="7"/>
    </x:row>
    <x:row r="934">
      <x:c r="G934" s="7"/>
    </x:row>
    <x:row r="935">
      <x:c r="G935" s="7"/>
    </x:row>
    <x:row r="936">
      <x:c r="G936" s="7"/>
    </x:row>
    <x:row r="937">
      <x:c r="G937" s="7"/>
    </x:row>
    <x:row r="938">
      <x:c r="G938" s="7"/>
    </x:row>
    <x:row r="939">
      <x:c r="G939" s="7"/>
    </x:row>
    <x:row r="940">
      <x:c r="G940" s="7"/>
    </x:row>
    <x:row r="941">
      <x:c r="G941" s="7"/>
    </x:row>
    <x:row r="942">
      <x:c r="G942" s="7"/>
    </x:row>
    <x:row r="943">
      <x:c r="G943" s="7"/>
    </x:row>
    <x:row r="944">
      <x:c r="G944" s="7"/>
    </x:row>
    <x:row r="945">
      <x:c r="G945" s="7"/>
    </x:row>
    <x:row r="946">
      <x:c r="G946" s="7"/>
    </x:row>
    <x:row r="947">
      <x:c r="G947" s="7"/>
    </x:row>
    <x:row r="948">
      <x:c r="G948" s="7"/>
    </x:row>
    <x:row r="949">
      <x:c r="G949" s="7"/>
    </x:row>
    <x:row r="950">
      <x:c r="G950" s="7"/>
    </x:row>
    <x:row r="951">
      <x:c r="G951" s="7"/>
    </x:row>
    <x:row r="952">
      <x:c r="G952" s="7"/>
    </x:row>
    <x:row r="953">
      <x:c r="G953" s="7"/>
    </x:row>
    <x:row r="954">
      <x:c r="G954" s="7"/>
    </x:row>
    <x:row r="955">
      <x:c r="G955" s="7"/>
    </x:row>
    <x:row r="956">
      <x:c r="G956" s="7"/>
    </x:row>
    <x:row r="957">
      <x:c r="G957" s="7"/>
    </x:row>
    <x:row r="958">
      <x:c r="G958" s="7"/>
    </x:row>
    <x:row r="959">
      <x:c r="G959" s="7"/>
    </x:row>
    <x:row r="960">
      <x:c r="G960" s="7"/>
    </x:row>
    <x:row r="961">
      <x:c r="G961" s="7"/>
    </x:row>
    <x:row r="962">
      <x:c r="G962" s="7"/>
    </x:row>
    <x:row r="963">
      <x:c r="G963" s="7"/>
    </x:row>
    <x:row r="964">
      <x:c r="G964" s="7"/>
    </x:row>
    <x:row r="965">
      <x:c r="G965" s="7"/>
    </x:row>
    <x:row r="966">
      <x:c r="G966" s="7"/>
    </x:row>
    <x:row r="967">
      <x:c r="G967" s="7"/>
    </x:row>
    <x:row r="968">
      <x:c r="G968" s="7"/>
    </x:row>
    <x:row r="969">
      <x:c r="G969" s="7"/>
    </x:row>
    <x:row r="970">
      <x:c r="G970" s="7"/>
    </x:row>
    <x:row r="971">
      <x:c r="G971" s="7"/>
    </x:row>
    <x:row r="972">
      <x:c r="G972" s="7"/>
    </x:row>
    <x:row r="973">
      <x:c r="G973" s="7"/>
    </x:row>
    <x:row r="974">
      <x:c r="G974" s="7"/>
    </x:row>
    <x:row r="975">
      <x:c r="G975" s="7"/>
    </x:row>
    <x:row r="976">
      <x:c r="G976" s="7"/>
    </x:row>
    <x:row r="977">
      <x:c r="G977" s="7"/>
    </x:row>
    <x:row r="978">
      <x:c r="G978" s="7"/>
    </x:row>
    <x:row r="979">
      <x:c r="G979" s="7"/>
    </x:row>
    <x:row r="980">
      <x:c r="G980" s="7"/>
    </x:row>
    <x:row r="981">
      <x:c r="G981" s="7"/>
    </x:row>
    <x:row r="982">
      <x:c r="G982" s="7"/>
    </x:row>
    <x:row r="983">
      <x:c r="G983" s="7"/>
    </x:row>
    <x:row r="984">
      <x:c r="G984" s="7"/>
    </x:row>
    <x:row r="985">
      <x:c r="G985" s="7"/>
    </x:row>
    <x:row r="986">
      <x:c r="G986" s="7"/>
    </x:row>
    <x:row r="987">
      <x:c r="G987" s="7"/>
    </x:row>
    <x:row r="988">
      <x:c r="G988" s="7"/>
    </x:row>
    <x:row r="989">
      <x:c r="G989" s="7"/>
    </x:row>
    <x:row r="990">
      <x:c r="G990" s="7"/>
    </x:row>
    <x:row r="991">
      <x:c r="G991" s="7"/>
    </x:row>
    <x:row r="992">
      <x:c r="G992" s="7"/>
    </x:row>
    <x:row r="993">
      <x:c r="G993" s="7"/>
    </x:row>
    <x:row r="994">
      <x:c r="G994" s="7"/>
    </x:row>
    <x:row r="995">
      <x:c r="G995" s="7"/>
    </x:row>
    <x:row r="996">
      <x:c r="G996" s="7"/>
    </x:row>
    <x:row r="997">
      <x:c r="G997" s="7"/>
    </x:row>
    <x:row r="998">
      <x:c r="G998" s="7"/>
    </x:row>
    <x:row r="999">
      <x:c r="G999" s="7"/>
    </x:row>
    <x:row r="1000">
      <x:c r="G1000" s="7"/>
    </x:row>
    <x:row r="1001">
      <x:c r="G1001" s="7"/>
    </x:row>
  </x:sheetData>
  <x:dataValidations count="1">
    <x:dataValidation type="list" sqref="D2:D1001">
      <x:formula1>"No_Code,Code_Coming_Soon,Not_CCF_A,Workshop,Out_of_Time_Range,Low_Relevance,Duplicate,Short_Paper,Demo"</x:formula1>
    </x:dataValidation>
  </x:dataValidations>
  <x:pageMargins left="0.7" right="0.7" top="0.75" bottom="0.75" header="0.3" footer="0.3"/>
  <x:tableParts count="1">
    <x:tablePart xmlns:r="http://schemas.openxmlformats.org/officeDocument/2006/relationships" r:id="R75b6a4d8846b473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55" hidden="0" customWidth="1"/>
    <x:col min="3" max="3" width="23" hidden="0" customWidth="1"/>
    <x:col min="4" max="4" width="23" hidden="0" customWidth="1"/>
    <x:col min="5" max="5" width="42" hidden="0" customWidth="1"/>
    <x:col min="6" max="6" width="42" hidden="0" customWidth="1"/>
    <x:col min="7" max="7" width="23" hidden="0" customWidth="1"/>
    <x:col min="8" max="8" width="23" hidden="0" customWidth="1"/>
    <x:col min="9" max="9" width="110" hidden="0" customWidth="1"/>
  </x:cols>
  <x:sheetData>
    <x:row r="1" ht="52" customHeight="1">
      <x:c r="A1" s="5" t="str">
        <x:v>会议 Venue</x:v>
      </x:c>
      <x:c r="B1" s="5" t="str">
        <x:v>会议全称 Full Name</x:v>
      </x:c>
      <x:c r="C1" s="5" t="str">
        <x:v>CCF等级 CCF Level</x:v>
      </x:c>
      <x:c r="D1" s="5" t="str">
        <x:v>CCF目录版本 CCF Edition</x:v>
      </x:c>
      <x:c r="E1" s="5" t="str">
        <x:v>官方来源 Official Source</x:v>
      </x:c>
      <x:c r="F1" s="5" t="str">
        <x:v>核验状态 Verification Status</x:v>
      </x:c>
      <x:c r="G1" s="5" t="str">
        <x:v>访问日期 Access Date</x:v>
      </x:c>
      <x:c r="H1" s="5" t="str">
        <x:v>核验日期 Verified Date</x:v>
      </x:c>
      <x:c r="I1" s="5" t="str">
        <x:v>备注 Notes</x:v>
      </x:c>
    </x:row>
    <x:row r="2" ht="210" customHeight="1">
      <x:c r="A2" s="10" t="str">
        <x:v>CVPR</x:v>
      </x:c>
      <x:c r="B2" s="10" t="str">
        <x:v>IEEE/CVF Conference on Computer Vision and Pattern Recognition</x:v>
      </x:c>
      <x:c r="C2" s="10" t="str">
        <x:v>A</x:v>
      </x:c>
      <x:c r="D2" s="10" t="str">
        <x:v>2026年第七版</x:v>
      </x:c>
      <x:c r="E2" s="10" t="str">
        <x:v>https://www.ccf.org.cn/Academic_Evaluation/AI/
https://www.ccf.org.cn/Academic_Evaluation/By_category/</x:v>
      </x:c>
      <x:c r="F2" s="10" t="str">
        <x:v>Pending Official Recheck</x:v>
      </x:c>
      <x:c r="G2" s="11" t="n">
        <x:v>46283</x:v>
      </x:c>
      <x:c r="H2" s="11" t="n">
        <x:v>46283</x:v>
      </x:c>
      <x:c r="I2" s="10" t="str">
        <x:v>官网访问验证阻碍；本次未完成官方正文核验
本次增量登记：用户提供等级，非本次官方确认。2026-09-18 两个官网入口均访问验证失败。Verified_Date 按用户指定填入，表示登记日期，非核验成功。Full / Regular Paper 须逐篇核验；Workshop、Demo、Short Paper、Technical Brief、Summary、Findings 不因依附会议直接套用等级。 原 CCF_Level=Unknown；原 Verification_Status=Pending_Official_Verification。
2026-09-18系统检索复核：官网正文被验证页阻挡；现有等级和历史日期原样保留，不作为本轮A类准入依据。旧核验状态：Official source provided / website access pending recheck</x:v>
      </x:c>
    </x:row>
    <x:row r="3" ht="210" customHeight="1">
      <x:c r="A3" s="10" t="str">
        <x:v>ICCV</x:v>
      </x:c>
      <x:c r="B3" s="10" t="str">
        <x:v>IEEE/CVF International Conference on Computer Vision</x:v>
      </x:c>
      <x:c r="C3" s="10" t="str">
        <x:v>A</x:v>
      </x:c>
      <x:c r="D3" s="10" t="str">
        <x:v>2026年第七版</x:v>
      </x:c>
      <x:c r="E3" s="10" t="str">
        <x:v>https://www.ccf.org.cn/Academic_Evaluation/AI/
https://www.ccf.org.cn/Academic_Evaluation/By_category/</x:v>
      </x:c>
      <x:c r="F3" s="10" t="str">
        <x:v>Pending Official Recheck</x:v>
      </x:c>
      <x:c r="G3" s="11" t="n">
        <x:v>46283</x:v>
      </x:c>
      <x:c r="H3" s="11" t="n">
        <x:v>46283</x:v>
      </x:c>
      <x:c r="I3" s="10" t="str">
        <x:v>官网访问验证阻碍；本次未完成官方正文核验
本次增量登记：用户提供等级，非本次官方确认。2026-09-18 两个官网入口均访问验证失败。Verified_Date 按用户指定填入，表示登记日期，非核验成功。Full / Regular Paper 须逐篇核验；Workshop、Demo、Short Paper、Technical Brief、Summary、Findings 不因依附会议直接套用等级。 原 CCF_Level=Unknown；原 Verification_Status=Pending_Official_Verification。
2026-09-18系统检索复核：官网正文被验证页阻挡；现有等级和历史日期原样保留，不作为本轮A类准入依据。旧核验状态：Official source provided / website access pending recheck</x:v>
      </x:c>
    </x:row>
    <x:row r="4" ht="210" customHeight="1">
      <x:c r="A4" s="10" t="str">
        <x:v>NeurIPS</x:v>
      </x:c>
      <x:c r="B4" s="10" t="str">
        <x:v>Conference on Neural Information Processing Systems</x:v>
      </x:c>
      <x:c r="C4" s="10" t="str">
        <x:v>A</x:v>
      </x:c>
      <x:c r="D4" s="10" t="str">
        <x:v>2026年第七版</x:v>
      </x:c>
      <x:c r="E4" s="10" t="str">
        <x:v>https://www.ccf.org.cn/Academic_Evaluation/AI/
https://www.ccf.org.cn/Academic_Evaluation/By_category/</x:v>
      </x:c>
      <x:c r="F4" s="10" t="str">
        <x:v>Pending Official Recheck</x:v>
      </x:c>
      <x:c r="G4" s="11" t="n">
        <x:v>46283</x:v>
      </x:c>
      <x:c r="H4" s="11" t="n">
        <x:v>46283</x:v>
      </x:c>
      <x:c r="I4" s="10" t="str">
        <x:v>官网访问验证阻碍；本次未完成官方正文核验
本次增量登记：用户提供等级，非本次官方确认。2026-09-18 两个官网入口均访问验证失败。Verified_Date 按用户指定填入，表示登记日期，非核验成功。Full / Regular Paper 须逐篇核验；Workshop、Demo、Short Paper、Technical Brief、Summary、Findings 不因依附会议直接套用等级。 原 CCF_Level=Unknown；原 Verification_Status=Pending_Official_Verification。
2026-09-18系统检索复核：官网正文被验证页阻挡；现有等级和历史日期原样保留，不作为本轮A类准入依据。旧核验状态：Official source provided / website access pending recheck</x:v>
      </x:c>
    </x:row>
    <x:row r="5" ht="210" customHeight="1">
      <x:c r="A5" s="10" t="str">
        <x:v>ICML</x:v>
      </x:c>
      <x:c r="B5" s="10" t="str">
        <x:v>International Conference on Machine Learning</x:v>
      </x:c>
      <x:c r="C5" s="10" t="str">
        <x:v>A</x:v>
      </x:c>
      <x:c r="D5" s="10" t="str">
        <x:v>2026年第七版</x:v>
      </x:c>
      <x:c r="E5" s="10" t="str">
        <x:v>https://www.ccf.org.cn/Academic_Evaluation/AI/
https://www.ccf.org.cn/Academic_Evaluation/By_category/</x:v>
      </x:c>
      <x:c r="F5" s="10" t="str">
        <x:v>Pending Official Recheck</x:v>
      </x:c>
      <x:c r="G5" s="11" t="n">
        <x:v>46283</x:v>
      </x:c>
      <x:c r="H5" s="11" t="n">
        <x:v>46283</x:v>
      </x:c>
      <x:c r="I5" s="10" t="str">
        <x:v>官网访问验证阻碍；本次未完成官方正文核验
本次增量登记：用户提供等级，非本次官方确认。2026-09-18 两个官网入口均访问验证失败。Verified_Date 按用户指定填入，表示登记日期，非核验成功。Full / Regular Paper 须逐篇核验；Workshop、Demo、Short Paper、Technical Brief、Summary、Findings 不因依附会议直接套用等级。 原 CCF_Level=Unknown；原 Verification_Status=Pending_Official_Verification。
2026-09-18系统检索复核：官网正文被验证页阻挡；现有等级和历史日期原样保留，不作为本轮A类准入依据。旧核验状态：Official source provided / website access pending recheck</x:v>
      </x:c>
    </x:row>
    <x:row r="6" ht="210" customHeight="1">
      <x:c r="A6" s="3" t="str">
        <x:v>ICLR</x:v>
      </x:c>
      <x:c r="B6" s="3" t="str">
        <x:v>International Conference on Learning Representations</x:v>
      </x:c>
      <x:c r="C6" s="3" t="str">
        <x:v>Unknown</x:v>
      </x:c>
      <x:c r="D6" s="3" t="str">
        <x:v>第七版（2026）</x:v>
      </x:c>
      <x:c r="E6" s="3" t="str">
        <x:v>https://www.ccf.org.cn/Academic_Evaluation/By_category/</x:v>
      </x:c>
      <x:c r="F6" s="3" t="str">
        <x:v>Pending Official Recheck</x:v>
      </x:c>
      <x:c r="G6" s="6" t="n">
        <x:v>46283</x:v>
      </x:c>
      <x:c r="H6" s="6"/>
      <x:c r="I6" s="3" t="str">
        <x:v>官网访问验证阻碍；本次未完成官方正文核验
2026-09-18系统检索复核：官网正文被验证页阻挡；现有等级和历史日期原样保留，不作为本轮A类准入依据。旧核验状态：Pending_Official_Verification</x:v>
      </x:c>
    </x:row>
    <x:row r="7" ht="210" customHeight="1">
      <x:c r="A7" s="10" t="str">
        <x:v>AAAI</x:v>
      </x:c>
      <x:c r="B7" s="10" t="str">
        <x:v>AAAI Conference on Artificial Intelligence</x:v>
      </x:c>
      <x:c r="C7" s="10" t="str">
        <x:v>A</x:v>
      </x:c>
      <x:c r="D7" s="10" t="str">
        <x:v>2026年第七版</x:v>
      </x:c>
      <x:c r="E7" s="10" t="str">
        <x:v>https://www.ccf.org.cn/Academic_Evaluation/AI/
https://www.ccf.org.cn/Academic_Evaluation/By_category/</x:v>
      </x:c>
      <x:c r="F7" s="10" t="str">
        <x:v>Pending Official Recheck</x:v>
      </x:c>
      <x:c r="G7" s="11" t="n">
        <x:v>46283</x:v>
      </x:c>
      <x:c r="H7" s="11" t="n">
        <x:v>46283</x:v>
      </x:c>
      <x:c r="I7" s="10" t="str">
        <x:v>官网访问验证阻碍；本次未完成官方正文核验
本次增量登记：用户提供等级，非本次官方确认。2026-09-18 两个官网入口均访问验证失败。Verified_Date 按用户指定填入，表示登记日期，非核验成功。Full / Regular Paper 须逐篇核验；Workshop、Demo、Short Paper、Technical Brief、Summary、Findings 不因依附会议直接套用等级。 原 CCF_Level=Unknown；原 Verification_Status=Pending_Official_Verification。
2026-09-18系统检索复核：官网正文被验证页阻挡；现有等级和历史日期原样保留，不作为本轮A类准入依据。旧核验状态：Official source provided / website access pending recheck</x:v>
      </x:c>
    </x:row>
    <x:row r="8" ht="130" customHeight="1">
      <x:c r="A8" s="10" t="str">
        <x:v>ACL</x:v>
      </x:c>
      <x:c r="B8" s="10"/>
      <x:c r="C8" s="10" t="str">
        <x:v>A</x:v>
      </x:c>
      <x:c r="D8" s="10" t="str">
        <x:v>2026年第七版</x:v>
      </x:c>
      <x:c r="E8" s="10" t="str">
        <x:v>https://www.ccf.org.cn/Academic_Evaluation/AI/
https://www.ccf.org.cn/Academic_Evaluation/By_category/</x:v>
      </x:c>
      <x:c r="F8" s="10" t="str">
        <x:v>Official source provided / website access pending recheck</x:v>
      </x:c>
      <x:c r="G8" s="11" t="n">
        <x:v>46283</x:v>
      </x:c>
      <x:c r="H8" s="11" t="n">
        <x:v>46283</x:v>
      </x:c>
      <x:c r="I8" s="10" t="str">
        <x:v>用户提供等级，非本次官方确认。2026-09-18 两个官网入口均访问验证失败。Verified_Date 按用户指定填入，表示登记日期，非核验成功。Full / Regular Paper 须逐篇核验；Workshop、Demo、Short Paper、Technical Brief、Summary、Findings 不因依附会议直接套用等级。 Full_Name 留空待核验。</x:v>
      </x:c>
    </x:row>
    <x:row r="9" ht="130" customHeight="1">
      <x:c r="A9" s="10" t="str">
        <x:v>IJCAI</x:v>
      </x:c>
      <x:c r="B9" s="10"/>
      <x:c r="C9" s="10" t="str">
        <x:v>A</x:v>
      </x:c>
      <x:c r="D9" s="10" t="str">
        <x:v>2026年第七版</x:v>
      </x:c>
      <x:c r="E9" s="10" t="str">
        <x:v>https://www.ccf.org.cn/Academic_Evaluation/AI/
https://www.ccf.org.cn/Academic_Evaluation/By_category/</x:v>
      </x:c>
      <x:c r="F9" s="10" t="str">
        <x:v>Official source provided / website access pending recheck</x:v>
      </x:c>
      <x:c r="G9" s="11" t="n">
        <x:v>46283</x:v>
      </x:c>
      <x:c r="H9" s="11" t="n">
        <x:v>46283</x:v>
      </x:c>
      <x:c r="I9" s="10" t="str">
        <x:v>用户提供等级，非本次官方确认。2026-09-18 两个官网入口均访问验证失败。Verified_Date 按用户指定填入，表示登记日期，非核验成功。Full / Regular Paper 须逐篇核验；Workshop、Demo、Short Paper、Technical Brief、Summary、Findings 不因依附会议直接套用等级。 IJCAI=A 为本次用户提供值，与此前第七版 B 类记录冲突；不得据此认定核心资格，待官网正文裁定。 Full_Name 留空待核验。</x:v>
      </x:c>
    </x:row>
    <x:row r="10" ht="130" customHeight="1">
      <x:c r="A10" s="10" t="str">
        <x:v>ICRA</x:v>
      </x:c>
      <x:c r="B10" s="10"/>
      <x:c r="C10" s="10" t="str">
        <x:v>B</x:v>
      </x:c>
      <x:c r="D10" s="10" t="str">
        <x:v>2026年第七版</x:v>
      </x:c>
      <x:c r="E10" s="10" t="str">
        <x:v>https://www.ccf.org.cn/Academic_Evaluation/AI/
https://www.ccf.org.cn/Academic_Evaluation/By_category/</x:v>
      </x:c>
      <x:c r="F10" s="10" t="str">
        <x:v>Official source provided / website access pending recheck</x:v>
      </x:c>
      <x:c r="G10" s="11" t="n">
        <x:v>46283</x:v>
      </x:c>
      <x:c r="H10" s="11" t="n">
        <x:v>46283</x:v>
      </x:c>
      <x:c r="I10" s="10" t="str">
        <x:v>用户提供等级，非本次官方确认。2026-09-18 两个官网入口均访问验证失败。Verified_Date 按用户指定填入，表示登记日期，非核验成功。Full / Regular Paper 须逐篇核验；Workshop、Demo、Short Paper、Technical Brief、Summary、Findings 不因依附会议直接套用等级。 Full_Name 留空待核验。</x:v>
      </x:c>
    </x:row>
    <x:row r="11" ht="110" customHeight="1">
      <x:c r="A11" s="10" t="str">
        <x:v>RSS</x:v>
      </x:c>
      <x:c r="B11" s="10" t="str">
        <x:v>Robotics: Science and Systems</x:v>
      </x:c>
      <x:c r="C11" s="10" t="str">
        <x:v>Unknown</x:v>
      </x:c>
      <x:c r="D11" s="10" t="str">
        <x:v>第七版（2026）</x:v>
      </x:c>
      <x:c r="E11" s="10" t="str">
        <x:v>https://www.ccf.org.cn/Academic_Evaluation/By_category/</x:v>
      </x:c>
      <x:c r="F11" s="10" t="str">
        <x:v>Pending Official Recheck</x:v>
      </x:c>
      <x:c r="G11" s="11" t="n">
        <x:v>46283</x:v>
      </x:c>
      <x:c r="H11" s="10" t="str"/>
      <x:c r="I11" s="10" t="str">
        <x:v>仅作为SpatialVLA扩展线索。RSS 2025论文身份已由官方论文集核实，但CCF官方目录访问验证失败，等级未知；不用于A类入库。</x:v>
      </x:c>
    </x:row>
  </x:sheetData>
  <x:pageMargins left="0.7" right="0.7" top="0.75" bottom="0.75" header="0.3" footer="0.3"/>
  <x:tableParts count="1">
    <x:tablePart xmlns:r="http://schemas.openxmlformats.org/officeDocument/2006/relationships" r:id="R632ee644304a4e7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40" hidden="0" customWidth="1"/>
    <x:col min="3" max="3" width="23" hidden="0" customWidth="1"/>
    <x:col min="4" max="4" width="42" hidden="0" customWidth="1"/>
  </x:cols>
  <x:sheetData>
    <x:row r="1" ht="52" customHeight="1">
      <x:c r="A1" s="5" t="str">
        <x:v>分类 Group</x:v>
      </x:c>
      <x:c r="B1" s="5" t="str">
        <x:v>关键词 Keyword</x:v>
      </x:c>
      <x:c r="C1" s="5" t="str">
        <x:v>中文解释 Chinese</x:v>
      </x:c>
      <x:c r="D1" s="5" t="str">
        <x:v>用途 Usage</x:v>
      </x:c>
    </x:row>
    <x:row r="2" ht="30" customHeight="1">
      <x:c r="A2" s="3" t="str">
        <x:v>任务与本体</x:v>
      </x:c>
      <x:c r="B2" s="3" t="str">
        <x:v>Robot Manipulation</x:v>
      </x:c>
      <x:c r="C2" s="3" t="str">
        <x:v>机器人操作</x:v>
      </x:c>
      <x:c r="D2" s="3" t="str">
        <x:v>检索线索；不自动判定入库资格</x:v>
      </x:c>
    </x:row>
    <x:row r="3" ht="30" customHeight="1">
      <x:c r="A3" s="3" t="str">
        <x:v>任务与本体</x:v>
      </x:c>
      <x:c r="B3" s="3" t="str">
        <x:v>Bimanual Manipulation</x:v>
      </x:c>
      <x:c r="C3" s="3" t="str">
        <x:v>双臂操作</x:v>
      </x:c>
      <x:c r="D3" s="3" t="str">
        <x:v>检索线索；不自动判定入库资格</x:v>
      </x:c>
    </x:row>
    <x:row r="4" ht="30" customHeight="1">
      <x:c r="A4" s="3" t="str">
        <x:v>任务与本体</x:v>
      </x:c>
      <x:c r="B4" s="3" t="str">
        <x:v>Dual-arm Manipulation</x:v>
      </x:c>
      <x:c r="C4" s="3" t="str">
        <x:v>双臂操作同义词</x:v>
      </x:c>
      <x:c r="D4" s="3" t="str">
        <x:v>检索线索；不自动判定入库资格</x:v>
      </x:c>
    </x:row>
    <x:row r="5" ht="30" customHeight="1">
      <x:c r="A5" s="3" t="str">
        <x:v>任务与本体</x:v>
      </x:c>
      <x:c r="B5" s="3" t="str">
        <x:v>Dexterous Manipulation</x:v>
      </x:c>
      <x:c r="C5" s="3" t="str">
        <x:v>灵巧操作</x:v>
      </x:c>
      <x:c r="D5" s="3" t="str">
        <x:v>检索线索；不自动判定入库资格</x:v>
      </x:c>
    </x:row>
    <x:row r="6" ht="30" customHeight="1">
      <x:c r="A6" s="3" t="str">
        <x:v>任务与本体</x:v>
      </x:c>
      <x:c r="B6" s="3" t="str">
        <x:v>Dexterous Hand</x:v>
      </x:c>
      <x:c r="C6" s="3" t="str">
        <x:v>灵巧手</x:v>
      </x:c>
      <x:c r="D6" s="3" t="str">
        <x:v>检索线索；不自动判定入库资格</x:v>
      </x:c>
    </x:row>
    <x:row r="7" ht="30" customHeight="1">
      <x:c r="A7" s="3" t="str">
        <x:v>模型与学习</x:v>
      </x:c>
      <x:c r="B7" s="3" t="str">
        <x:v>Vision-Language-Action</x:v>
      </x:c>
      <x:c r="C7" s="3" t="str">
        <x:v>视觉-语言-动作</x:v>
      </x:c>
      <x:c r="D7" s="3" t="str">
        <x:v>检索线索；不自动判定入库资格</x:v>
      </x:c>
    </x:row>
    <x:row r="8" ht="30" customHeight="1">
      <x:c r="A8" s="3" t="str">
        <x:v>模型与学习</x:v>
      </x:c>
      <x:c r="B8" s="3" t="str">
        <x:v>VLA</x:v>
      </x:c>
      <x:c r="C8" s="3" t="str">
        <x:v>视觉-语言-动作缩写</x:v>
      </x:c>
      <x:c r="D8" s="3" t="str">
        <x:v>检索线索；不自动判定入库资格</x:v>
      </x:c>
    </x:row>
    <x:row r="9" ht="30" customHeight="1">
      <x:c r="A9" s="3" t="str">
        <x:v>模型与学习</x:v>
      </x:c>
      <x:c r="B9" s="3" t="str">
        <x:v>Robot Foundation Model</x:v>
      </x:c>
      <x:c r="C9" s="3" t="str">
        <x:v>机器人基础模型</x:v>
      </x:c>
      <x:c r="D9" s="3" t="str">
        <x:v>检索线索；不自动判定入库资格</x:v>
      </x:c>
    </x:row>
    <x:row r="10" ht="30" customHeight="1">
      <x:c r="A10" s="3" t="str">
        <x:v>模型与学习</x:v>
      </x:c>
      <x:c r="B10" s="3" t="str">
        <x:v>Imitation Learning</x:v>
      </x:c>
      <x:c r="C10" s="3" t="str">
        <x:v>模仿学习</x:v>
      </x:c>
      <x:c r="D10" s="3" t="str">
        <x:v>检索线索；不自动判定入库资格</x:v>
      </x:c>
    </x:row>
    <x:row r="11" ht="30" customHeight="1">
      <x:c r="A11" s="3" t="str">
        <x:v>模型与学习</x:v>
      </x:c>
      <x:c r="B11" s="3" t="str">
        <x:v>Behavior Cloning</x:v>
      </x:c>
      <x:c r="C11" s="3" t="str">
        <x:v>行为克隆</x:v>
      </x:c>
      <x:c r="D11" s="3" t="str">
        <x:v>检索线索；不自动判定入库资格</x:v>
      </x:c>
    </x:row>
    <x:row r="12" ht="30" customHeight="1">
      <x:c r="A12" s="3" t="str">
        <x:v>模型与学习</x:v>
      </x:c>
      <x:c r="B12" s="3" t="str">
        <x:v>Diffusion Policy</x:v>
      </x:c>
      <x:c r="C12" s="3" t="str">
        <x:v>扩散策略</x:v>
      </x:c>
      <x:c r="D12" s="3" t="str">
        <x:v>检索线索；不自动判定入库资格</x:v>
      </x:c>
    </x:row>
    <x:row r="13" ht="30" customHeight="1">
      <x:c r="A13" s="3" t="str">
        <x:v>模型与学习</x:v>
      </x:c>
      <x:c r="B13" s="3" t="str">
        <x:v>Flow Matching</x:v>
      </x:c>
      <x:c r="C13" s="3" t="str">
        <x:v>流匹配</x:v>
      </x:c>
      <x:c r="D13" s="3" t="str">
        <x:v>检索线索；不自动判定入库资格</x:v>
      </x:c>
    </x:row>
    <x:row r="14" ht="30" customHeight="1">
      <x:c r="A14" s="3" t="str">
        <x:v>模型与学习</x:v>
      </x:c>
      <x:c r="B14" s="3" t="str">
        <x:v>Reinforcement Learning</x:v>
      </x:c>
      <x:c r="C14" s="3" t="str">
        <x:v>强化学习</x:v>
      </x:c>
      <x:c r="D14" s="3" t="str">
        <x:v>检索线索；不自动判定入库资格</x:v>
      </x:c>
    </x:row>
    <x:row r="15" ht="30" customHeight="1">
      <x:c r="A15" s="3" t="str">
        <x:v>能力与评价</x:v>
      </x:c>
      <x:c r="B15" s="3" t="str">
        <x:v>Generalization</x:v>
      </x:c>
      <x:c r="C15" s="3" t="str">
        <x:v>泛化</x:v>
      </x:c>
      <x:c r="D15" s="3" t="str">
        <x:v>检索线索；不自动判定入库资格</x:v>
      </x:c>
    </x:row>
    <x:row r="16" ht="30" customHeight="1">
      <x:c r="A16" s="3" t="str">
        <x:v>能力与评价</x:v>
      </x:c>
      <x:c r="B16" s="3" t="str">
        <x:v>Zero-shot</x:v>
      </x:c>
      <x:c r="C16" s="3" t="str">
        <x:v>零样本</x:v>
      </x:c>
      <x:c r="D16" s="3" t="str">
        <x:v>检索线索；不自动判定入库资格</x:v>
      </x:c>
    </x:row>
    <x:row r="17" ht="30" customHeight="1">
      <x:c r="A17" s="3" t="str">
        <x:v>能力与评价</x:v>
      </x:c>
      <x:c r="B17" s="3" t="str">
        <x:v>Failure Recovery</x:v>
      </x:c>
      <x:c r="C17" s="3" t="str">
        <x:v>失败恢复</x:v>
      </x:c>
      <x:c r="D17" s="3" t="str">
        <x:v>检索线索；不自动判定入库资格</x:v>
      </x:c>
    </x:row>
    <x:row r="18" ht="30" customHeight="1">
      <x:c r="A18" s="3" t="str">
        <x:v>能力与评价</x:v>
      </x:c>
      <x:c r="B18" s="3" t="str">
        <x:v>Long-horizon</x:v>
      </x:c>
      <x:c r="C18" s="3" t="str">
        <x:v>长时序</x:v>
      </x:c>
      <x:c r="D18" s="3" t="str">
        <x:v>检索线索；不自动判定入库资格</x:v>
      </x:c>
    </x:row>
    <x:row r="19" ht="30" customHeight="1">
      <x:c r="A19" s="3" t="str">
        <x:v>能力与评价</x:v>
      </x:c>
      <x:c r="B19" s="3" t="str">
        <x:v>Data Efficiency</x:v>
      </x:c>
      <x:c r="C19" s="3" t="str">
        <x:v>数据效率</x:v>
      </x:c>
      <x:c r="D19" s="3" t="str">
        <x:v>检索线索；不自动判定入库资格</x:v>
      </x:c>
    </x:row>
    <x:row r="20" ht="30" customHeight="1">
      <x:c r="A20" s="3" t="str">
        <x:v>数据与部署</x:v>
      </x:c>
      <x:c r="B20" s="3" t="str">
        <x:v>Human Demonstration</x:v>
      </x:c>
      <x:c r="C20" s="3" t="str">
        <x:v>人类示范</x:v>
      </x:c>
      <x:c r="D20" s="3" t="str">
        <x:v>检索线索；不自动判定入库资格</x:v>
      </x:c>
    </x:row>
    <x:row r="21" ht="30" customHeight="1">
      <x:c r="A21" s="3" t="str">
        <x:v>数据与部署</x:v>
      </x:c>
      <x:c r="B21" s="3" t="str">
        <x:v>Teleoperation</x:v>
      </x:c>
      <x:c r="C21" s="3" t="str">
        <x:v>遥操作</x:v>
      </x:c>
      <x:c r="D21" s="3" t="str">
        <x:v>检索线索；不自动判定入库资格</x:v>
      </x:c>
    </x:row>
    <x:row r="22" ht="30" customHeight="1">
      <x:c r="A22" s="3" t="str">
        <x:v>数据与部署</x:v>
      </x:c>
      <x:c r="B22" s="3" t="str">
        <x:v>Human Video</x:v>
      </x:c>
      <x:c r="C22" s="3" t="str">
        <x:v>人类视频</x:v>
      </x:c>
      <x:c r="D22" s="3" t="str">
        <x:v>检索线索；不自动判定入库资格</x:v>
      </x:c>
    </x:row>
    <x:row r="23" ht="30" customHeight="1">
      <x:c r="A23" s="3" t="str">
        <x:v>数据与部署</x:v>
      </x:c>
      <x:c r="B23" s="3" t="str">
        <x:v>Real-world Robot Manipulation</x:v>
      </x:c>
      <x:c r="C23" s="3" t="str">
        <x:v>真实世界机器人操作</x:v>
      </x:c>
      <x:c r="D23" s="3" t="str">
        <x:v>检索线索；不自动判定入库资格</x:v>
      </x:c>
    </x:row>
    <x:row r="24" ht="62" customHeight="1">
      <x:c r="A24" s="10" t="str">
        <x:v>动作表示</x:v>
      </x:c>
      <x:c r="B24" s="10" t="str">
        <x:v>Action Chunking</x:v>
      </x:c>
      <x:c r="C24" s="10" t="str">
        <x:v>动作分块</x:v>
      </x:c>
      <x:c r="D24" s="10" t="str">
        <x:v>联系RDT的连续动作片段与当前ACT/双臂控制。</x:v>
      </x:c>
    </x:row>
    <x:row r="25" ht="62" customHeight="1">
      <x:c r="A25" s="10" t="str">
        <x:v>动作表示</x:v>
      </x:c>
      <x:c r="B25" s="10" t="str">
        <x:v>Action Tokenization</x:v>
      </x:c>
      <x:c r="C25" s="10" t="str">
        <x:v>动作标记化</x:v>
      </x:c>
      <x:c r="D25" s="10" t="str">
        <x:v>追踪SpatialVLA、LAPA如何连接离散表示与实际动作。</x:v>
      </x:c>
    </x:row>
    <x:row r="26" ht="62" customHeight="1">
      <x:c r="A26" s="10" t="str">
        <x:v>泛化迁移</x:v>
      </x:c>
      <x:c r="B26" s="10" t="str">
        <x:v>Cross-Embodiment</x:v>
      </x:c>
      <x:c r="C26" s="10" t="str">
        <x:v>跨机器人本体迁移</x:v>
      </x:c>
      <x:c r="D26" s="10" t="str">
        <x:v>RDT、TwinVLA、VideoVLA涉及跨本体知识迁移；检索数据与动作对齐。</x:v>
      </x:c>
    </x:row>
    <x:row r="27" ht="62" customHeight="1">
      <x:c r="A27" s="10" t="str">
        <x:v>模型</x:v>
      </x:c>
      <x:c r="B27" s="10" t="str">
        <x:v>World Model</x:v>
      </x:c>
      <x:c r="C27" s="10" t="str">
        <x:v>世界模型</x:v>
      </x:c>
      <x:c r="D27" s="10" t="str">
        <x:v>3D-VLA通过预测未来视觉状态联系动作；用于追踪预测与控制的连接。</x:v>
      </x:c>
    </x:row>
    <x:row r="28" ht="62" customHeight="1">
      <x:c r="A28" s="10" t="str">
        <x:v>空间推理</x:v>
      </x:c>
      <x:c r="B28" s="10" t="str">
        <x:v>Affordance Reasoning</x:v>
      </x:c>
      <x:c r="C28" s="10" t="str">
        <x:v>可供性推理</x:v>
      </x:c>
      <x:c r="D28" s="10" t="str">
        <x:v>AffordDexGrasp、OmniManip连接任务语义与可操作区域/约束。</x:v>
      </x:c>
    </x:row>
    <x:row r="29" ht="62" customHeight="1">
      <x:c r="A29" s="10" t="str">
        <x:v>操作任务</x:v>
      </x:c>
      <x:c r="B29" s="10" t="str">
        <x:v>Contact-rich Manipulation</x:v>
      </x:c>
      <x:c r="C29" s="10" t="str">
        <x:v>接触密集型操作</x:v>
      </x:c>
      <x:c r="D29" s="10" t="str">
        <x:v>DexHandDiff及DextER强调接触；追踪接触约束与动作成功的关系。</x:v>
      </x:c>
    </x:row>
    <x:row r="30" ht="62" customHeight="1">
      <x:c r="A30" s="10" t="str">
        <x:v>时序表示</x:v>
      </x:c>
      <x:c r="B30" s="10" t="str">
        <x:v>Visual Trace Prompting</x:v>
      </x:c>
      <x:c r="C30" s="10" t="str">
        <x:v>视觉轨迹提示</x:v>
      </x:c>
      <x:c r="D30" s="10" t="str">
        <x:v>TraceVLA利用历史运动轨迹增强时空感知，可继续比较历史观测表示。</x:v>
      </x:c>
    </x:row>
    <x:row r="31" ht="62" customHeight="1">
      <x:c r="A31" s="10" t="str">
        <x:v>视频学习</x:v>
      </x:c>
      <x:c r="B31" s="10" t="str">
        <x:v>Latent Action Pretraining</x:v>
      </x:c>
      <x:c r="C31" s="10" t="str">
        <x:v>潜动作预训练</x:v>
      </x:c>
      <x:c r="D31" s="10" t="str">
        <x:v>LAPA从缺少动作标签的视频学习；适合追踪人类视频到机器人数据的转换。</x:v>
      </x:c>
    </x:row>
    <x:row r="32" ht="62" customHeight="1">
      <x:c r="A32" s="10" t="str">
        <x:v>生成策略</x:v>
      </x:c>
      <x:c r="B32" s="10" t="str">
        <x:v>Consistency Flow Matching</x:v>
      </x:c>
      <x:c r="C32" s="10" t="str">
        <x:v>一致性流匹配</x:v>
      </x:c>
      <x:c r="D32" s="10" t="str">
        <x:v>FlowPolicy用一致性约束减少推理步数；便于比较扩散策略的部署代价。</x:v>
      </x:c>
    </x:row>
    <x:row r="33" ht="62" customHeight="1">
      <x:c r="A33" s="10" t="str">
        <x:v>学习方法</x:v>
      </x:c>
      <x:c r="B33" s="10" t="str">
        <x:v>Policy Distillation</x:v>
      </x:c>
      <x:c r="C33" s="10" t="str">
        <x:v>策略蒸馏</x:v>
      </x:c>
      <x:c r="D33" s="10" t="str">
        <x:v>UniGraspTransformer把专用策略经验汇总为通用策略。</x:v>
      </x:c>
    </x:row>
    <x:row r="34" ht="62" customHeight="1">
      <x:c r="A34" s="10" t="str">
        <x:v>数据生成</x:v>
      </x:c>
      <x:c r="B34" s="10" t="str">
        <x:v>Generative Digital Twin</x:v>
      </x:c>
      <x:c r="C34" s="10" t="str">
        <x:v>生成式数字孪生</x:v>
      </x:c>
      <x:c r="D34" s="10" t="str">
        <x:v>RoboTwin关联场景生成、专家示范和双臂评测。</x:v>
      </x:c>
    </x:row>
    <x:row r="35" ht="62" customHeight="1">
      <x:c r="A35" s="10" t="str">
        <x:v>学习方法</x:v>
      </x:c>
      <x:c r="B35" s="10" t="str">
        <x:v>Residual Reinforcement Learning</x:v>
      </x:c>
      <x:c r="C35" s="10" t="str">
        <x:v>残差强化学习</x:v>
      </x:c>
      <x:c r="D35" s="10" t="str">
        <x:v>ManipTrans与VLM Scaffolding通过残差策略修正参考动作。</x:v>
      </x:c>
    </x:row>
    <x:row r="36" ht="62" customHeight="1">
      <x:c r="A36" s="10" t="str">
        <x:v>泛化迁移</x:v>
      </x:c>
      <x:c r="B36" s="10" t="str">
        <x:v>Sim-to-Real Transfer</x:v>
      </x:c>
      <x:c r="C36" s="10" t="str">
        <x:v>仿真到现实迁移</x:v>
      </x:c>
      <x:c r="D36" s="10" t="str">
        <x:v>Scaffolding与RoboTwin涉及仿真/真机关系，适合后续核查部署前提。</x:v>
      </x:c>
    </x:row>
    <x:row r="37" ht="62" customHeight="1">
      <x:c r="A37" s="10" t="str">
        <x:v>双臂协作</x:v>
      </x:c>
      <x:c r="B37" s="10" t="str">
        <x:v>Joint Attention</x:v>
      </x:c>
      <x:c r="C37" s="10" t="str">
        <x:v>联合注意力</x:v>
      </x:c>
      <x:c r="D37" s="10" t="str">
        <x:v>TwinVLA连接两个单臂分支；适合检索双臂信息交换结构。</x:v>
      </x:c>
    </x:row>
    <x:row r="38" ht="46" customHeight="1">
      <x:c r="A38" s="23" t="str">
        <x:v>任务与本体</x:v>
      </x:c>
      <x:c r="B38" s="23" t="str">
        <x:v>Bimanual Coordination</x:v>
      </x:c>
      <x:c r="C38" s="23" t="str">
        <x:v>双臂协同</x:v>
      </x:c>
      <x:c r="D38" s="23" t="str">
        <x:v>区分双臂同时协同与单臂独立执行，检索交接、稳定与双臂规划。</x:v>
      </x:c>
    </x:row>
    <x:row r="39" ht="46" customHeight="1">
      <x:c r="A39" s="23" t="str">
        <x:v>任务与本体</x:v>
      </x:c>
      <x:c r="B39" s="23" t="str">
        <x:v>Parallel Gripper</x:v>
      </x:c>
      <x:c r="C39" s="23" t="str">
        <x:v>平行夹爪</x:v>
      </x:c>
      <x:c r="D39" s="23" t="str">
        <x:v>与当前NERO普通夹爪本体匹配，便于筛除仅适用于多指手的特化方法。</x:v>
      </x:c>
    </x:row>
    <x:row r="40" ht="46" customHeight="1">
      <x:c r="A40" s="23" t="str">
        <x:v>任务与本体</x:v>
      </x:c>
      <x:c r="B40" s="23" t="str">
        <x:v>Mobile Manipulation</x:v>
      </x:c>
      <x:c r="C40" s="23" t="str">
        <x:v>移动操作</x:v>
      </x:c>
      <x:c r="D40" s="23" t="str">
        <x:v>区分固定双臂与移动底盘+机械臂系统，寻找数据采集和全身控制方案。</x:v>
      </x:c>
    </x:row>
    <x:row r="41" ht="46" customHeight="1">
      <x:c r="A41" s="23" t="str">
        <x:v>模型与学习</x:v>
      </x:c>
      <x:c r="B41" s="23" t="str">
        <x:v>Hierarchical VLA</x:v>
      </x:c>
      <x:c r="C41" s="23" t="str">
        <x:v>分层视觉-语言-动作模型</x:v>
      </x:c>
      <x:c r="D41" s="23" t="str">
        <x:v>对照高层语义规划和低层闭环控制，适用于长任务。</x:v>
      </x:c>
    </x:row>
    <x:row r="42" ht="46" customHeight="1">
      <x:c r="A42" s="23" t="str">
        <x:v>模型与学习</x:v>
      </x:c>
      <x:c r="B42" s="23" t="str">
        <x:v>Video Diffusion Policy</x:v>
      </x:c>
      <x:c r="C42" s="23" t="str">
        <x:v>视频扩散策略</x:v>
      </x:c>
      <x:c r="D42" s="23" t="str">
        <x:v>连接未来视觉预测、世界模型与动作输出，查数据效率和部署延迟。</x:v>
      </x:c>
    </x:row>
    <x:row r="43" ht="46" customHeight="1">
      <x:c r="A43" s="23" t="str">
        <x:v>模型与学习</x:v>
      </x:c>
      <x:c r="B43" s="23" t="str">
        <x:v>Equivariant Diffusion Policy</x:v>
      </x:c>
      <x:c r="C43" s="23" t="str">
        <x:v>等变扩散策略</x:v>
      </x:c>
      <x:c r="D43" s="23" t="str">
        <x:v>追踪空间对称性先验如何降低示范需求并改善位姿泛化。</x:v>
      </x:c>
    </x:row>
    <x:row r="44" ht="46" customHeight="1">
      <x:c r="A44" s="23" t="str">
        <x:v>模型与学习</x:v>
      </x:c>
      <x:c r="B44" s="23" t="str">
        <x:v>Asynchronous Inference</x:v>
      </x:c>
      <x:c r="C44" s="23" t="str">
        <x:v>异步推理</x:v>
      </x:c>
      <x:c r="D44" s="23" t="str">
        <x:v>检索VLA推理与动作执行并行时的对齐、接续和失败恢复。</x:v>
      </x:c>
    </x:row>
    <x:row r="45" ht="46" customHeight="1">
      <x:c r="A45" s="23" t="str">
        <x:v>模型与学习</x:v>
      </x:c>
      <x:c r="B45" s="23" t="str">
        <x:v>Cross-Embodiment Transfer</x:v>
      </x:c>
      <x:c r="C45" s="23" t="str">
        <x:v>跨本体迁移</x:v>
      </x:c>
      <x:c r="D45" s="23" t="str">
        <x:v>比较从单臂、双臂、移动平台向目标机器人迁移策略和数据。</x:v>
      </x:c>
    </x:row>
    <x:row r="46" ht="46" customHeight="1">
      <x:c r="A46" s="23" t="str">
        <x:v>能力与评价</x:v>
      </x:c>
      <x:c r="B46" s="23" t="str">
        <x:v>Long-Horizon Manipulation</x:v>
      </x:c>
      <x:c r="C46" s="23" t="str">
        <x:v>长时序操作</x:v>
      </x:c>
      <x:c r="D46" s="23" t="str">
        <x:v>关注任务分解、阶段性目标和持续执行中的恢复机制。</x:v>
      </x:c>
    </x:row>
    <x:row r="47" ht="46" customHeight="1">
      <x:c r="A47" s="23" t="str">
        <x:v>能力与评价</x:v>
      </x:c>
      <x:c r="B47" s="23" t="str">
        <x:v>Affordance Transfer</x:v>
      </x:c>
      <x:c r="C47" s="23" t="str">
        <x:v>可供性迁移</x:v>
      </x:c>
      <x:c r="D47" s="23" t="str">
        <x:v>把物体/任务级可操作区域转化为抓取或放置策略，并评估零样本泛化。</x:v>
      </x:c>
    </x:row>
    <x:row r="48" ht="46" customHeight="1">
      <x:c r="A48" s="23" t="str">
        <x:v>能力与评价</x:v>
      </x:c>
      <x:c r="B48" s="23" t="str">
        <x:v>Bimanual Benchmark</x:v>
      </x:c>
      <x:c r="C48" s="23" t="str">
        <x:v>双臂评测基准</x:v>
      </x:c>
      <x:c r="D48" s="23" t="str">
        <x:v>查任务集、双臂协调指标、仿真随机化和真机复测协议。</x:v>
      </x:c>
    </x:row>
    <x:row r="49" ht="46" customHeight="1">
      <x:c r="A49" s="23" t="str">
        <x:v>数据与部署</x:v>
      </x:c>
      <x:c r="B49" s="23" t="str">
        <x:v>Human Motion Capture Demonstrations</x:v>
      </x:c>
      <x:c r="C49" s="23" t="str">
        <x:v>人类动作捕捉示范</x:v>
      </x:c>
      <x:c r="D49" s="23" t="str">
        <x:v>比较无机器人遥操作、手部追踪和示范重定向的数据获取路径。</x:v>
      </x:c>
    </x:row>
    <x:row r="50" ht="46" customHeight="1">
      <x:c r="A50" s="23" t="str">
        <x:v>数据与部署</x:v>
      </x:c>
      <x:c r="B50" s="23" t="str">
        <x:v>Teleoperation Data Collection</x:v>
      </x:c>
      <x:c r="C50" s="23" t="str">
        <x:v>遥操作数据采集</x:v>
      </x:c>
      <x:c r="D50" s="23" t="str">
        <x:v>检索低成本双臂采集系统、同步、多视角和数据质量。</x:v>
      </x:c>
    </x:row>
    <x:row r="51" ht="46" customHeight="1">
      <x:c r="A51" s="23" t="str">
        <x:v>数据与部署</x:v>
      </x:c>
      <x:c r="B51" s="23" t="str">
        <x:v>Visual-Tactile Pretraining</x:v>
      </x:c>
      <x:c r="C51" s="23" t="str">
        <x:v>视觉-触觉预训练</x:v>
      </x:c>
      <x:c r="D51" s="23" t="str">
        <x:v>用于灵巧操作扩展；判断触觉是否对普通夹爪操作有可迁移价值。</x:v>
      </x:c>
    </x:row>
    <x:row r="52" ht="46" customHeight="1">
      <x:c r="A52" s="23" t="str">
        <x:v>数据与部署</x:v>
      </x:c>
      <x:c r="B52" s="23" t="str">
        <x:v>Mixed-Quality Demonstrations</x:v>
      </x:c>
      <x:c r="C52" s="23" t="str">
        <x:v>混合质量示范</x:v>
      </x:c>
      <x:c r="D52" s="23" t="str">
        <x:v>检索示范质量识别、在线纠正、人工干预和失败数据利用。</x:v>
      </x:c>
    </x:row>
  </x:sheetData>
  <x:pageMargins left="0.7" right="0.7" top="0.75" bottom="0.75" header="0.3" footer="0.3"/>
  <x:tableParts count="1">
    <x:tablePart xmlns:r="http://schemas.openxmlformats.org/officeDocument/2006/relationships" r:id="R9f371f007e7c4788"/>
  </x:tableParts>
</x:worksheet>
</file>

<file path=xl/worksheets/sheet5.xml><?xml version="1.0" encoding="utf-8"?>
<x:worksheet xmlns:x="http://schemas.openxmlformats.org/spreadsheetml/2006/main">
  <x:sheetPr>
    <x:tabColor rgb="FF2F75B5"/>
  </x:sheetPr>
  <x:sheetViews>
    <x:sheetView showGridLines="0" workbookViewId="0">
      <x:pane ySplit="1" topLeftCell="A2" activePane="bottomLeft" state="frozen"/>
    </x:sheetView>
  </x:sheetViews>
  <x:sheetFormatPr defaultRowHeight="15"/>
  <x:cols>
    <x:col min="1" max="1" width="10" hidden="0" customWidth="1"/>
    <x:col min="2" max="2" width="50" hidden="0" customWidth="1"/>
    <x:col min="3" max="3" width="15" hidden="0" customWidth="1"/>
    <x:col min="4" max="4" width="15" hidden="0" customWidth="1"/>
    <x:col min="5" max="5" width="28" hidden="0" customWidth="1"/>
    <x:col min="6" max="6" width="28" hidden="0" customWidth="1"/>
    <x:col min="7" max="7" width="28" hidden="0" customWidth="1"/>
    <x:col min="8" max="8" width="34" hidden="0" customWidth="1"/>
    <x:col min="9" max="9" width="34" hidden="0" customWidth="1"/>
    <x:col min="10" max="10" width="34" hidden="0" customWidth="1"/>
    <x:col min="11" max="11" width="42" hidden="0" customWidth="1"/>
    <x:col min="12" max="12" width="42" hidden="0" customWidth="1"/>
    <x:col min="13" max="13" width="42" hidden="0" customWidth="1"/>
    <x:col min="14" max="14" width="4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38" hidden="0" customWidth="1"/>
    <x:col min="23" max="23" width="38" hidden="0" customWidth="1"/>
    <x:col min="24" max="24" width="38" hidden="0" customWidth="1"/>
    <x:col min="25" max="25" width="25" hidden="0" customWidth="1"/>
    <x:col min="26" max="26" width="48" hidden="0" customWidth="1"/>
  </x:cols>
  <x:sheetData>
    <x:row r="1" ht="42" customHeight="1">
      <x:c r="A1" t="str">
        <x:v>编号 ID</x:v>
      </x:c>
      <x:c r="B1" t="str">
        <x:v>论文标题 Title</x:v>
      </x:c>
      <x:c r="C1" t="str">
        <x:v>年份 Year</x:v>
      </x:c>
      <x:c r="D1" t="str">
        <x:v>论文类型 Type</x:v>
      </x:c>
      <x:c r="E1" t="str">
        <x:v>Venue / Source</x:v>
      </x:c>
      <x:c r="F1" t="str">
        <x:v>正式发表状态 Publication Status</x:v>
      </x:c>
      <x:c r="G1" t="str">
        <x:v>CCF等级 CCF Level</x:v>
      </x:c>
      <x:c r="H1" t="str">
        <x:v>研究方向 Category</x:v>
      </x:c>
      <x:c r="I1" t="str">
        <x:v>子方向 Subcategory</x:v>
      </x:c>
      <x:c r="J1" t="str">
        <x:v>关键词 Keywords</x:v>
      </x:c>
      <x:c r="K1" t="str">
        <x:v>官方论文 Official Paper</x:v>
      </x:c>
      <x:c r="L1" t="str">
        <x:v>arXiv</x:v>
      </x:c>
      <x:c r="M1" t="str">
        <x:v>Project Page</x:v>
      </x:c>
      <x:c r="N1" t="str">
        <x:v>GitHub</x:v>
      </x:c>
      <x:c r="O1" t="str">
        <x:v>代码状态 Code Status</x:v>
      </x:c>
      <x:c r="P1" t="str">
        <x:v>数据公开 Data Released</x:v>
      </x:c>
      <x:c r="Q1" t="str">
        <x:v>模型权重 Checkpoint</x:v>
      </x:c>
      <x:c r="R1" t="str">
        <x:v>是否真机 Real Robot</x:v>
      </x:c>
      <x:c r="S1" t="str">
        <x:v>单臂/双臂/灵巧手 Embodiment</x:v>
      </x:c>
      <x:c r="T1" t="str">
        <x:v>发现来源 Discovery Source</x:v>
      </x:c>
      <x:c r="U1" t="str">
        <x:v>优先级 Priority</x:v>
      </x:c>
      <x:c r="V1" t="str">
        <x:v>备注 Notes</x:v>
      </x:c>
      <x:c r="W1" t="str">
        <x:v>核验状态 Verification Status</x:v>
      </x:c>
      <x:c r="X1" t="str">
        <x:v>核验日期 Verified Date</x:v>
      </x:c>
      <x:c r="Y1" t="str">
        <x:v>Primary Category</x:v>
      </x:c>
      <x:c r="Z1" t="str">
        <x:v>Canonical Card Path</x:v>
      </x:c>
      <x:c r="AA1" t="str">
        <x:v>Citation Count</x:v>
      </x:c>
      <x:c r="AB1" t="str">
        <x:v>Citation Source</x:v>
      </x:c>
      <x:c r="AC1" t="str">
        <x:v>Citation Checked Date</x:v>
      </x:c>
      <x:c r="AD1" t="str">
        <x:v>Research Problem</x:v>
      </x:c>
      <x:c r="AE1" t="str">
        <x:v>Previous Unsolved Problem</x:v>
      </x:c>
      <x:c r="AF1" t="str">
        <x:v>Model / Method</x:v>
      </x:c>
      <x:c r="AG1" t="str">
        <x:v>Dataset / Benchmark</x:v>
      </x:c>
      <x:c r="AH1" t="str">
        <x:v>Baseline / SOTA</x:v>
      </x:c>
      <x:c r="AI1" t="str">
        <x:v>Main Contributions</x:v>
      </x:c>
      <x:c r="AJ1" t="str">
        <x:v>Experiment Setup</x:v>
      </x:c>
      <x:c r="AK1" t="str">
        <x:v>Main Results</x:v>
      </x:c>
      <x:c r="AL1" t="str">
        <x:v>Limitations</x:v>
      </x:c>
      <x:c r="AM1" t="str">
        <x:v>Remaining Unsolved Problem</x:v>
      </x:c>
      <x:c r="AN1" t="str">
        <x:v>Relevance to Our Project</x:v>
      </x:c>
      <x:c r="AO1" t="str">
        <x:v>Tags</x:v>
      </x:c>
      <x:c r="AP1" t="str">
        <x:v>Evidence Quality</x:v>
      </x:c>
      <x:c r="AQ1" t="str">
        <x:v>Idea Clues</x:v>
      </x:c>
      <x:c r="AR1" t="str">
        <x:v>Ablation Study</x:v>
      </x:c>
      <x:c r="AS1" t="str">
        <x:v>Failure Cases</x:v>
      </x:c>
      <x:c r="AT1" t="str">
        <x:v>引用量来源链接</x:v>
      </x:c>
      <x:c r="AU1" t="str">
        <x:v>Evidence Sources</x:v>
      </x:c>
      <x:c r="AV1" t="str">
        <x:v>Evidence Upgrade Status</x:v>
      </x:c>
      <x:c r="AW1" t="str">
        <x:v>Supplement Status</x:v>
      </x:c>
      <x:c r="AX1" t="str">
        <x:v>Code Completeness</x:v>
      </x:c>
      <x:c r="AY1" t="str">
        <x:v>Robot Platform Evidence</x:v>
      </x:c>
      <x:c r="AZ1" t="str">
        <x:v>Fulltext URL</x:v>
      </x:c>
      <x:c r="BA1" t="str">
        <x:v>Fulltext Checked</x:v>
      </x:c>
      <x:c r="BB1" t="str">
        <x:v>Experiment Extracted</x:v>
      </x:c>
      <x:c r="BC1" t="str">
        <x:v>Results Extracted</x:v>
      </x:c>
      <x:c r="BD1" t="str">
        <x:v>Ablation Extracted</x:v>
      </x:c>
      <x:c r="BE1" t="str">
        <x:v>Failure Cases Extracted</x:v>
      </x:c>
      <x:c r="BF1" t="str">
        <x:v>Limitations Extracted</x:v>
      </x:c>
      <x:c r="BG1" t="str">
        <x:v>Remaining Gap Extracted</x:v>
      </x:c>
      <x:c r="BH1" t="str">
        <x:v>Citation Status</x:v>
      </x:c>
      <x:c r="BI1" t="str">
        <x:v>DOI Status</x:v>
      </x:c>
      <x:c r="BJ1" t="str">
        <x:v>arXiv Status</x:v>
      </x:c>
      <x:c r="BK1" t="str">
        <x:v>Deep Enrichment Status</x:v>
      </x:c>
      <x:c r="BL1" t="str">
        <x:v>Deep Enrichment Completed</x:v>
      </x:c>
      <x:c r="BM1" t="str">
        <x:v>Queue Status</x:v>
      </x:c>
      <x:c r="BN1" t="str">
        <x:v>Quick Summary</x:v>
      </x:c>
      <x:c r="BO1" t="str">
        <x:v>Previous Gap</x:v>
      </x:c>
      <x:c r="BP1" t="str">
        <x:v>Core Idea</x:v>
      </x:c>
      <x:c r="BQ1" t="str">
        <x:v>Baseline</x:v>
      </x:c>
      <x:c r="BR1" t="str">
        <x:v>Main Result</x:v>
      </x:c>
      <x:c r="BS1" t="str">
        <x:v>Why It Matters</x:v>
      </x:c>
      <x:c r="BT1" t="str">
        <x:v>Key Limitation</x:v>
      </x:c>
      <x:c r="BU1" t="str">
        <x:v>Remaining Gap</x:v>
      </x:c>
      <x:c r="BV1" t="str">
        <x:v>Project Relevance</x:v>
      </x:c>
      <x:c r="BW1" t="str">
        <x:v>Summary Evidence</x:v>
      </x:c>
      <x:c r="BX1" t="str">
        <x:v>Citation Match Confidence</x:v>
      </x:c>
      <x:c r="BY1" t="str">
        <x:v>References In Library Count</x:v>
      </x:c>
      <x:c r="BZ1" t="str">
        <x:v>Cited By In Library Count</x:v>
      </x:c>
    </x:row>
    <x:row r="2" ht="58" customHeight="1">
      <x:c r="A2" t="str">
        <x:v>D001</x:v>
      </x:c>
      <x:c r="B2" t="str">
        <x:v>Hierarchical Diffusion Policy for Kinematics-Aware Multi-Task Robotic Manipulation</x:v>
      </x:c>
      <x:c r="C2" t="n">
        <x:v>2024</x:v>
      </x:c>
      <x:c r="D2" t="str">
        <x:v>Method Paper</x:v>
      </x:c>
      <x:c r="E2" t="str">
        <x:v>CVPR</x:v>
      </x:c>
      <x:c r="F2" t="str">
        <x:v>CVPR 2024 Main Conference</x:v>
      </x:c>
      <x:c r="G2" t="str">
        <x:v>A (CCF 7th edition; venue category not independently extracted from official PDF)</x:v>
      </x:c>
      <x:c r="H2" t="str">
        <x:v>Robot Manipulation / IL / Diffusion</x:v>
      </x:c>
      <x:c r="I2" t="str">
        <x:v>Diffusion Policy / Hierarchical Control</x:v>
      </x:c>
      <x:c r="J2" t="str">
        <x:v>Robot Manipulation; Diffusion Policy / Hierarchical Control</x:v>
      </x:c>
      <x:c r="K2" t="e">
        <x:f>HYPERLINK("https://openaccess.thecvf.com/content/CVPR2024/html/Ma_Hierarchical_Diffusion_Policy_for_Kinematics-Aware_Multi-Task_Robotic_Manipulation_CVPR_2024_paper.html","论文")</x:f>
        <x:v>HYPERLINK is not implemented. linkLocation=https://openaccess.thecvf.com/content/CVPR2024/html/Ma_Hierarchical_Diffusion_Policy_for_Kinematics-Aware_Multi-Task_Robotic_Manipulation_CVPR_2024_paper.html, friendlyName=论文</x:v>
      </x:c>
      <x:c r="L2"/>
      <x:c r="M2"/>
      <x:c r="N2"/>
      <x:c r="O2" t="str">
        <x:v>Unknown</x:v>
      </x:c>
      <x:c r="P2" t="str">
        <x:v>Unknown</x:v>
      </x:c>
      <x:c r="Q2"/>
      <x:c r="R2" t="str">
        <x:v>Mixed</x:v>
      </x:c>
      <x:c r="S2" t="str">
        <x:v>Single Arm</x:v>
      </x:c>
      <x:c r="T2" t="str">
        <x:v>CVF Open Access</x:v>
      </x:c>
      <x:c r="U2" t="str">
        <x:v>P0</x:v>
      </x:c>
      <x:c r="V2" t="str">
        <x:v>Abstract reports simulation and real-world evaluation.</x:v>
      </x:c>
      <x:c r="W2" t="str">
        <x:v>Official Verified</x:v>
      </x:c>
      <x:c r="X2" t="str">
        <x:v>2026-09-18</x:v>
      </x:c>
      <x:c r="Y2" t="str">
        <x:v>Diffusion / Flow / IL / RL</x:v>
      </x:c>
      <x:c r="Z2" t="str">
        <x:v>02_Papers/06_Diffusion_Flow_IL_RL/Hierarchical_Diffusion_Policy_for_Kinematics-Aware_Multi-Task_Robotic_Manipulation.md</x:v>
      </x:c>
      <x:c r="AA2" t="n">
        <x:v>54</x:v>
      </x:c>
      <x:c r="AB2" t="str">
        <x:v>OpenAlex</x:v>
      </x:c>
      <x:c r="AC2" t="str">
        <x:v>2026-09-25</x:v>
      </x:c>
      <x:c r="AD2" t="str">
        <x:v>多任务机器人操作要同时决定高层子目标和符合运动学的连续动作。</x:v>
      </x:c>
      <x:c r="AE2" t="str">
        <x:v>Unknown / Needs Full-Paper Verification</x:v>
      </x:c>
      <x:c r="AF2" t="str">
        <x:v>以 `Robot Manipulation; Diffusion Policy / Hierarchical Control` 为主要方法/能力线索；更细的结构和消融结论待正文核验。</x:v>
      </x:c>
      <x:c r="AG2" t="str">
        <x:v>已核验摘要未明确说明；需查阅论文方法与实验章节。</x:v>
      </x:c>
      <x:c r="AH2" t="str">
        <x:v>Unknown / Needs Full-Paper Verification</x:v>
      </x:c>
      <x:c r="AI2" t="str">
        <x:v>- This paper introduces Hierarchical Diffusion Policy (HDP) a hierarchical agent for multi-task robotic manipulation.</x:v>
      </x:c>
      <x:c r="AJ2" t="str">
        <x:v>Real Robot 字段为 `Mixed`；Dataset、Benchmark、Robot Platform 中的 Unknown 继续保留，不从题名推断。</x:v>
      </x:c>
      <x:c r="AK2" t="str">
        <x:v>作者报告仿真和真机成功率高于所比较方法；具体数值见实验表。</x:v>
      </x:c>
      <x:c r="AL2" t="str">
        <x:v>Unknown / Needs Full-Paper Verification</x:v>
      </x:c>
      <x:c r="AM2" t="str">
        <x:v>Library Analysis / Research Note: Unknown / Needs Full-Paper Verification</x:v>
      </x:c>
      <x:c r="AN2" t="str">
        <x:v>** 与机器人操作、模仿学习或策略泛化相关；是否进入 L2/L3 取决于与双臂普通夹爪平台的可迁移性。</x:v>
      </x:c>
      <x:c r="AO2" t="str">
        <x:v>Robot Manipulation; Diffusion Policy / Hierarchical Control</x:v>
      </x:c>
      <x:c r="AP2" t="str">
        <x:v>B</x:v>
      </x:c>
      <x:c r="AQ2"/>
      <x:c r="AR2" t="str">
        <x:v>Unknown / Not Explicitly Reported in the currently accessible sources.</x:v>
      </x:c>
      <x:c r="AS2" t="str">
        <x:v>Unknown / Not Explicitly Reported in the currently accessible sources.</x:v>
      </x:c>
      <x:c r="AT2" t="str">
        <x:v>https://openalex.org/W4402727783</x:v>
      </x:c>
      <x:c r="AU2" t="str">
        <x:v>https://openaccess.thecvf.com/content/CVPR2024/html/Ma_Hierarchical_Diffusion_Policy_for_Kinematics-Aware_Multi-Task_Robotic_Manipulation_CVPR_2024_paper.html；官方摘要/论文集元数据</x:v>
      </x:c>
      <x:c r="AV2" t="str">
        <x:v>B-Fulltext-Unavailable</x:v>
      </x:c>
      <x:c r="AW2" t="str">
        <x:v>Not Found</x:v>
      </x:c>
      <x:c r="AX2" t="str">
        <x:v>Unknown</x:v>
      </x:c>
      <x:c r="AY2" t="str">
        <x:v>Unknown</x:v>
      </x:c>
      <x:c r="AZ2" t="str">
        <x:v>https://openaccess.thecvf.com/content/CVPR2024/papers/Ma_Hierarchical_Diffusion_Policy_for_Kinematics-Aware_Multi-Task_Robotic_Manipulation_CVPR_2024_paper.pdf</x:v>
      </x:c>
      <x:c r="BA2" t="str">
        <x:v>No</x:v>
      </x:c>
      <x:c r="BB2" t="str">
        <x:v>No</x:v>
      </x:c>
      <x:c r="BC2" t="str">
        <x:v>No</x:v>
      </x:c>
      <x:c r="BD2" t="str">
        <x:v>No</x:v>
      </x:c>
      <x:c r="BE2" t="str">
        <x:v>No</x:v>
      </x:c>
      <x:c r="BF2" t="str">
        <x:v>No</x:v>
      </x:c>
      <x:c r="BG2" t="str">
        <x:v>No</x:v>
      </x:c>
      <x:c r="BH2" t="str">
        <x:v>Matched</x:v>
      </x:c>
      <x:c r="BI2" t="str">
        <x:v>Not Found After Verification</x:v>
      </x:c>
      <x:c r="BJ2" t="str">
        <x:v>Not Found After Verification</x:v>
      </x:c>
      <x:c r="BK2" t="str">
        <x:v>Audit logged - deep extraction pending</x:v>
      </x:c>
      <x:c r="BL2" t="str">
        <x:v>false</x:v>
      </x:c>
      <x:c r="BM2"/>
      <x:c r="BN2" t="str">
        <x:v>研究问题：多任务机器人操作要同时决定高层子目标和符合运动学的连续动作。；之前方法的问题：单层扩散策略可能难兼顾长任务结构与局部可达性。；核心思路：Hierarchical Diffusion Policy 将任务规划与运动学感知的动作生成分层处理。；主要结果：作者报告仿真和真机成功率高于所比较方法；具体数值见实验表。；为什么重要：可对照双臂任务中高层分工与低层动作生成。；与当前项目的关系：High：双臂普通夹爪也需要运动学约束和任务分解。；主要局限：需核验在两臂共享工作空间中的约束处理。</x:v>
      </x:c>
      <x:c r="BO2" t="str">
        <x:v>单层扩散策略可能难兼顾长任务结构与局部可达性。</x:v>
      </x:c>
      <x:c r="BP2" t="str">
        <x:v>Hierarchical Diffusion Policy 将任务规划与运动学感知的动作生成分层处理。</x:v>
      </x:c>
      <x:c r="BQ2"/>
      <x:c r="BR2" t="str">
        <x:v>作者报告仿真和真机成功率高于所比较方法；具体数值见实验表。</x:v>
      </x:c>
      <x:c r="BS2" t="str">
        <x:v>可对照双臂任务中高层分工与低层动作生成。</x:v>
      </x:c>
      <x:c r="BT2" t="str">
        <x:v>需核验在两臂共享工作空间中的约束处理。</x:v>
      </x:c>
      <x:c r="BU2"/>
      <x:c r="BV2" t="str">
        <x:v>High：双臂普通夹爪也需要运动学约束和任务分解。</x:v>
      </x:c>
      <x:c r="BW2" t="str">
        <x:v>官方摘要/论文页; https://openaccess.thecvf.com/content/CVPR2024/html/Ma_Hierarchical_Diffusion_Policy_for_Kinematics-Aware_Multi-Task_Robotic_Manipulation_CVPR_2024_paper.html; 核验于 2026-09-23. 仅为摘要级速读；原 Evidence Quality 不变。 - 核验层级：摘要有可追溯来源</x:v>
      </x:c>
      <x:c r="BX2" t="str">
        <x:v>title</x:v>
      </x:c>
      <x:c r="BY2" t="n">
        <x:v>0</x:v>
      </x:c>
      <x:c r="BZ2" t="n">
        <x:v>1</x:v>
      </x:c>
    </x:row>
    <x:row r="3" ht="58" customHeight="1">
      <x:c r="A3" t="str">
        <x:v>D002</x:v>
      </x:c>
      <x:c r="B3" t="str">
        <x:v>Rethinking Bimanual Robotic Manipulation: Learning with Decoupled Interaction Framework</x:v>
      </x:c>
      <x:c r="C3" t="n">
        <x:v>2025</x:v>
      </x:c>
      <x:c r="D3" t="str">
        <x:v>Method Paper</x:v>
      </x:c>
      <x:c r="E3" t="str">
        <x:v>ICCV</x:v>
      </x:c>
      <x:c r="F3" t="str">
        <x:v>ICCV 2025 Main Conference</x:v>
      </x:c>
      <x:c r="G3" t="str">
        <x:v>A (CCF 7th edition; venue category not independently extracted from official PDF)</x:v>
      </x:c>
      <x:c r="H3" t="str">
        <x:v>Robot Manipulation / IL / Diffusion; Bimanual</x:v>
      </x:c>
      <x:c r="I3" t="str">
        <x:v>Decoupled Interaction / RoboTwin</x:v>
      </x:c>
      <x:c r="J3" t="str">
        <x:v>bimanual manipulation; decoupled interaction; RoboTwin</x:v>
      </x:c>
      <x:c r="K3" t="e">
        <x:f>HYPERLINK("https://openaccess.thecvf.com/content/ICCV2025/html/Jiang_Rethinking_Bimanual_Robotic_Manipulation_Learning_with_Decoupled_Interaction_Framework_ICCV_2025_paper.html","论文")</x:f>
        <x:v>HYPERLINK is not implemented. linkLocation=https://openaccess.thecvf.com/content/ICCV2025/html/Jiang_Rethinking_Bimanual_Robotic_Manipulation_Learning_with_Decoupled_Interaction_Framework_ICCV_2025_paper.html, friendlyName=论文</x:v>
      </x:c>
      <x:c r="L3"/>
      <x:c r="M3"/>
      <x:c r="N3"/>
      <x:c r="O3" t="str">
        <x:v>Unknown</x:v>
      </x:c>
      <x:c r="P3" t="str">
        <x:v>Unknown</x:v>
      </x:c>
      <x:c r="Q3"/>
      <x:c r="R3" t="str">
        <x:v>Unknown</x:v>
      </x:c>
      <x:c r="S3" t="str">
        <x:v>Bimanual / Parallel Gripper</x:v>
      </x:c>
      <x:c r="T3" t="str">
        <x:v>CVF Open Access</x:v>
      </x:c>
      <x:c r="U3" t="str">
        <x:v>P0</x:v>
      </x:c>
      <x:c r="V3" t="str">
        <x:v>Evaluated on seven RoboTwin tasks; real robot status not stated in abstract.</x:v>
      </x:c>
      <x:c r="W3" t="str">
        <x:v>Official Verified</x:v>
      </x:c>
      <x:c r="X3" t="str">
        <x:v>2026-09-18</x:v>
      </x:c>
      <x:c r="Y3" t="str">
        <x:v>Bimanual</x:v>
      </x:c>
      <x:c r="Z3" t="str">
        <x:v>02_Papers/03_Bimanual/Rethinking_Bimanual_Robotic_Manipulation_Learning_with_Decoupled_Interaction_Framework.md</x:v>
      </x:c>
      <x:c r="AA3" t="n">
        <x:v>0</x:v>
      </x:c>
      <x:c r="AB3" t="str">
        <x:v>OpenAlex</x:v>
      </x:c>
      <x:c r="AC3" t="str">
        <x:v>2026-09-25</x:v>
      </x:c>
      <x:c r="AD3" t="str">
        <x:v>不同双臂任务的交互结构不同，统一耦合方式未必合适。</x:v>
      </x:c>
      <x:c r="AE3" t="str">
        <x:v>Unknown / Needs Full-Paper Verification</x:v>
      </x:c>
      <x:c r="AF3" t="str">
        <x:v>以 `bimanual manipulation; decoupled interaction; RoboTwin` 为主要方法/能力线索；更细的结构和消融结论待正文核验。</x:v>
      </x:c>
      <x:c r="AG3" t="str">
        <x:v>RoboTwin 七项任务。</x:v>
      </x:c>
      <x:c r="AH3" t="str">
        <x:v>Unknown / Needs Full-Paper Verification</x:v>
      </x:c>
      <x:c r="AI3" t="str">
        <x:v>- In this paper, we propose a novel decoupled interaction framework that considers the characteristics of different tasks in bimanual manipulation.</x:v>
      </x:c>
      <x:c r="AJ3" t="str">
        <x:v>Real Robot 字段为 `Unknown`；Dataset、Benchmark、Robot Platform 中的 Unknown 继续保留，不从题名推断。</x:v>
      </x:c>
      <x:c r="AK3" t="str">
        <x:v>论文报告在七项 RoboTwin 任务上较所比较 SOTA 提升 23.5%；具体指标定义见原文。</x:v>
      </x:c>
      <x:c r="AL3" t="str">
        <x:v>Unknown / Needs Full-Paper Verification</x:v>
      </x:c>
      <x:c r="AM3" t="str">
        <x:v>Library Analysis / Research Note: Unknown / Needs Full-Paper Verification</x:v>
      </x:c>
      <x:c r="AN3" t="str">
        <x:v>** 与 NERO 双臂、普通夹爪、示范采集和双臂策略学习直接相关，优先评估动作表示与协同控制是否可迁移。</x:v>
      </x:c>
      <x:c r="AO3" t="str">
        <x:v>bimanual manipulation; decoupled interaction; RoboTwin</x:v>
      </x:c>
      <x:c r="AP3" t="str">
        <x:v>B</x:v>
      </x:c>
      <x:c r="AQ3"/>
      <x:c r="AR3" t="str">
        <x:v>Unknown / Not Explicitly Reported in the currently accessible sources.</x:v>
      </x:c>
      <x:c r="AS3" t="str">
        <x:v>Unknown / Not Explicitly Reported in the currently accessible sources.</x:v>
      </x:c>
      <x:c r="AT3" t="str">
        <x:v>https://openalex.org/W4415101881</x:v>
      </x:c>
      <x:c r="AU3" t="str">
        <x:v>https://openaccess.thecvf.com/content/ICCV2025/html/Jiang_Rethinking_Bimanual_Robotic_Manipulation_Learning_with_Decoupled_Interaction_Framework_ICCV_2025_paper.html；官方摘要/论文集元数据</x:v>
      </x:c>
      <x:c r="AV3" t="str">
        <x:v>B-Fulltext-Unavailable</x:v>
      </x:c>
      <x:c r="AW3" t="str">
        <x:v>Not Found</x:v>
      </x:c>
      <x:c r="AX3" t="str">
        <x:v>Unknown</x:v>
      </x:c>
      <x:c r="AY3" t="str">
        <x:v>Unknown</x:v>
      </x:c>
      <x:c r="AZ3" t="str">
        <x:v>https://openaccess.thecvf.com/content/ICCV2025/papers/Jiang_Rethinking_Bimanual_Robotic_Manipulation_Learning_with_Decoupled_Interaction_Framework_ICCV_2025_paper.pdf</x:v>
      </x:c>
      <x:c r="BA3" t="str">
        <x:v>No</x:v>
      </x:c>
      <x:c r="BB3" t="str">
        <x:v>No</x:v>
      </x:c>
      <x:c r="BC3" t="str">
        <x:v>No</x:v>
      </x:c>
      <x:c r="BD3" t="str">
        <x:v>No</x:v>
      </x:c>
      <x:c r="BE3" t="str">
        <x:v>No</x:v>
      </x:c>
      <x:c r="BF3" t="str">
        <x:v>No</x:v>
      </x:c>
      <x:c r="BG3" t="str">
        <x:v>No</x:v>
      </x:c>
      <x:c r="BH3" t="str">
        <x:v>Matched</x:v>
      </x:c>
      <x:c r="BI3" t="str">
        <x:v>Not Found After Verification</x:v>
      </x:c>
      <x:c r="BJ3" t="str">
        <x:v>Not Found After Verification</x:v>
      </x:c>
      <x:c r="BK3" t="str">
        <x:v>Audit logged - deep extraction pending</x:v>
      </x:c>
      <x:c r="BL3" t="str">
        <x:v>false</x:v>
      </x:c>
      <x:c r="BM3"/>
      <x:c r="BN3" t="str">
        <x:v>研究问题：不同双臂任务的交互结构不同，统一耦合方式未必合适。；之前方法的问题：始终联合预测双臂动作，可能忽略支撑手与操作手的不同职责。；核心思路：按任务交互特点设计解耦框架，让双臂策略分别处理可分解的部分并保持必要协调。；数据集与评测基准：RoboTwin 七项任务。；主要结果：论文报告在七项 RoboTwin 任务上较所比较 SOTA 提升 23.5%；具体指标定义见原文。；为什么重要：为联合预测与分臂预测的实验对照提供方法。；与当前项目的关系：High：普通夹爪常有支撑—操作分工。；主要局限：仿真 benchmark 上的优势仍需真机接触任务验证。</x:v>
      </x:c>
      <x:c r="BO3" t="str">
        <x:v>始终联合预测双臂动作，可能忽略支撑手与操作手的不同职责。</x:v>
      </x:c>
      <x:c r="BP3" t="str">
        <x:v>按任务交互特点设计解耦框架，让双臂策略分别处理可分解的部分并保持必要协调。</x:v>
      </x:c>
      <x:c r="BQ3"/>
      <x:c r="BR3" t="str">
        <x:v>论文报告在七项 RoboTwin 任务上较所比较 SOTA 提升 23.5%；具体指标定义见原文。</x:v>
      </x:c>
      <x:c r="BS3" t="str">
        <x:v>为联合预测与分臂预测的实验对照提供方法。</x:v>
      </x:c>
      <x:c r="BT3" t="str">
        <x:v>仿真 benchmark 上的优势仍需真机接触任务验证。</x:v>
      </x:c>
      <x:c r="BU3"/>
      <x:c r="BV3" t="str">
        <x:v>High：普通夹爪常有支撑—操作分工。</x:v>
      </x:c>
      <x:c r="BW3" t="str">
        <x:v>官方摘要/论文页; https://openaccess.thecvf.com/content/ICCV2025/html/Jiang_Rethinking_Bimanual_Robotic_Manipulation_Learning_with_Decoupled_Interaction_Framework_ICCV_2025_paper.html; 核验于 2026-09-23. 仅为摘要级速读；原 Evidence Quality 不变。 - 核验层级：摘要有可追溯来源</x:v>
      </x:c>
      <x:c r="BX3" t="str">
        <x:v>title</x:v>
      </x:c>
      <x:c r="BY3" t="n">
        <x:v>0</x:v>
      </x:c>
      <x:c r="BZ3" t="n">
        <x:v>0</x:v>
      </x:c>
    </x:row>
    <x:row r="4" ht="58" customHeight="1">
      <x:c r="A4" t="str">
        <x:v>D003</x:v>
      </x:c>
      <x:c r="B4" t="str">
        <x:v>Diffusion-Based Imaginative Coordination for Bimanual Manipulation</x:v>
      </x:c>
      <x:c r="C4" t="n">
        <x:v>2025</x:v>
      </x:c>
      <x:c r="D4" t="str">
        <x:v>Method Paper</x:v>
      </x:c>
      <x:c r="E4" t="str">
        <x:v>ICCV</x:v>
      </x:c>
      <x:c r="F4" t="str">
        <x:v>ICCV 2025 Main Conference</x:v>
      </x:c>
      <x:c r="G4" t="str">
        <x:v>A (CCF 7th edition; venue category not independently extracted from official PDF)</x:v>
      </x:c>
      <x:c r="H4" t="str">
        <x:v>Robot Manipulation / IL / Diffusion; Bimanual</x:v>
      </x:c>
      <x:c r="I4" t="str">
        <x:v>Diffusion Policy / Human Demonstrations</x:v>
      </x:c>
      <x:c r="J4" t="str">
        <x:v>bimanual; diffusion; teleoperation; human demonstration</x:v>
      </x:c>
      <x:c r="K4" t="e">
        <x:f>HYPERLINK("https://openaccess.thecvf.com/content/ICCV2025/html/Xu_Diffusion-Based_Imaginative_Coordination_for_Bimanual_Manipulation_ICCV_2025_paper.html","论文")</x:f>
        <x:v>HYPERLINK is not implemented. linkLocation=https://openaccess.thecvf.com/content/ICCV2025/html/Xu_Diffusion-Based_Imaginative_Coordination_for_Bimanual_Manipulation_ICCV_2025_paper.html, friendlyName=论文</x:v>
      </x:c>
      <x:c r="L4"/>
      <x:c r="M4"/>
      <x:c r="N4"/>
      <x:c r="O4" t="str">
        <x:v>Unknown</x:v>
      </x:c>
      <x:c r="P4" t="str">
        <x:v>Unknown</x:v>
      </x:c>
      <x:c r="Q4"/>
      <x:c r="R4" t="str">
        <x:v>Yes</x:v>
      </x:c>
      <x:c r="S4" t="str">
        <x:v>Bimanual / Parallel Gripper</x:v>
      </x:c>
      <x:c r="T4" t="str">
        <x:v>CVF Open Access</x:v>
      </x:c>
      <x:c r="U4" t="str">
        <x:v>P0</x:v>
      </x:c>
      <x:c r="V4" t="str">
        <x:v>Paper PDF reports 50 human teleoperation demonstrations per task and real robot experiments.</x:v>
      </x:c>
      <x:c r="W4" t="str">
        <x:v>Official Verified</x:v>
      </x:c>
      <x:c r="X4" t="str">
        <x:v>2026-09-18</x:v>
      </x:c>
      <x:c r="Y4" t="str">
        <x:v>Bimanual</x:v>
      </x:c>
      <x:c r="Z4" t="str">
        <x:v>02_Papers/03_Bimanual/Diffusion-Based_Imaginative_Coordination_for_Bimanual_Manipulation.md</x:v>
      </x:c>
      <x:c r="AA4" t="n">
        <x:v>0</x:v>
      </x:c>
      <x:c r="AB4" t="str">
        <x:v>OpenAlex</x:v>
      </x:c>
      <x:c r="AC4" t="str">
        <x:v>2026-09-25</x:v>
      </x:c>
      <x:c r="AD4" t="str">
        <x:v>复杂双臂任务需要预测动作，也需要理解后续视觉状态。</x:v>
      </x:c>
      <x:c r="AE4" t="str">
        <x:v>Unknown / Needs Full-Paper Verification</x:v>
      </x:c>
      <x:c r="AF4" t="str">
        <x:v>以 `bimanual; diffusion; teleoperation; human demonstration` 为主要方法/能力线索；更细的结构和消融结论待正文核验。</x:v>
      </x:c>
      <x:c r="AG4" t="str">
        <x:v>两项仿真 benchmark 与一项真机设置。</x:v>
      </x:c>
      <x:c r="AH4" t="str">
        <x:v>Unknown / Needs Full-Paper Verification</x:v>
      </x:c>
      <x:c r="AI4" t="str">
        <x:v>- To bridge this gap, we propose a unified diffusion-based framework for the joint optimi</x:v>
      </x:c>
      <x:c r="AJ4" t="str">
        <x:v>Real Robot 字段为 `Yes`；Dataset、Benchmark、Robot Platform 中的 Unknown 继续保留，不从题名推断。</x:v>
      </x:c>
      <x:c r="AK4" t="str">
        <x:v>论文报告在上述设置中成功率高于 ACT 基线；具体差值需核对实验表。</x:v>
      </x:c>
      <x:c r="AL4" t="str">
        <x:v>Unknown / Needs Full-Paper Verification</x:v>
      </x:c>
      <x:c r="AM4" t="str">
        <x:v>Library Analysis / Research Note: Unknown / Needs Full-Paper Verification</x:v>
      </x:c>
      <x:c r="AN4" t="str">
        <x:v>** 与 NERO 双臂、普通夹爪、示范采集和双臂策略学习直接相关，优先评估动作表示与协同控制是否可迁移。</x:v>
      </x:c>
      <x:c r="AO4" t="str">
        <x:v>bimanual; diffusion; teleoperation; human demonstration</x:v>
      </x:c>
      <x:c r="AP4" t="str">
        <x:v>B</x:v>
      </x:c>
      <x:c r="AQ4"/>
      <x:c r="AR4" t="str">
        <x:v>Unknown / Not Explicitly Reported in the currently accessible sources.</x:v>
      </x:c>
      <x:c r="AS4" t="str">
        <x:v>Unknown / Not Explicitly Reported in the currently accessible sources.</x:v>
      </x:c>
      <x:c r="AT4" t="str">
        <x:v>https://openalex.org/W4414754983</x:v>
      </x:c>
      <x:c r="AU4" t="str">
        <x:v>https://openaccess.thecvf.com/content/ICCV2025/html/Xu_Diffusion-Based_Imaginative_Coordination_for_Bimanual_Manipulation_ICCV_2025_paper.html；官方摘要/论文集元数据</x:v>
      </x:c>
      <x:c r="AV4" t="str">
        <x:v>B-Fulltext-Unavailable</x:v>
      </x:c>
      <x:c r="AW4" t="str">
        <x:v>Not Found</x:v>
      </x:c>
      <x:c r="AX4" t="str">
        <x:v>Unknown</x:v>
      </x:c>
      <x:c r="AY4" t="str">
        <x:v>Unknown</x:v>
      </x:c>
      <x:c r="AZ4" t="str">
        <x:v>https://openaccess.thecvf.com/content/ICCV2025/papers/Xu_Diffusion-Based_Imaginative_Coordination_for_Bimanual_Manipulation_ICCV_2025_paper.pdf</x:v>
      </x:c>
      <x:c r="BA4" t="str">
        <x:v>No</x:v>
      </x:c>
      <x:c r="BB4" t="str">
        <x:v>No</x:v>
      </x:c>
      <x:c r="BC4" t="str">
        <x:v>No</x:v>
      </x:c>
      <x:c r="BD4" t="str">
        <x:v>No</x:v>
      </x:c>
      <x:c r="BE4" t="str">
        <x:v>No</x:v>
      </x:c>
      <x:c r="BF4" t="str">
        <x:v>No</x:v>
      </x:c>
      <x:c r="BG4" t="str">
        <x:v>No</x:v>
      </x:c>
      <x:c r="BH4" t="str">
        <x:v>Matched</x:v>
      </x:c>
      <x:c r="BI4" t="str">
        <x:v>Not Found After Verification</x:v>
      </x:c>
      <x:c r="BJ4" t="str">
        <x:v>Not Found After Verification</x:v>
      </x:c>
      <x:c r="BK4" t="str">
        <x:v>Audit logged - deep extraction pending</x:v>
      </x:c>
      <x:c r="BL4" t="str">
        <x:v>false</x:v>
      </x:c>
      <x:c r="BM4"/>
      <x:c r="BN4" t="str">
        <x:v>研究问题：复杂双臂任务需要预测动作，也需要理解后续视觉状态。；之前方法的问题：只学动作或只生成视频，可能无法协调两臂与物体变化。；核心思路：联合优化视频预测与双臂动作生成，让策略在想象未来场景的同时协调执行。；数据集与评测基准：两项仿真 benchmark 与一项真机设置。；主要结果：论文报告在上述设置中成功率高于 ACT 基线；具体差值需核对实验表。；为什么重要：可测试视觉预期是否改善双臂协调。；与当前项目的关系：High：双臂普通夹爪可对照 ACT 与带未来预测的策略。</x:v>
      </x:c>
      <x:c r="BO4" t="str">
        <x:v>只学动作或只生成视频，可能无法协调两臂与物体变化。</x:v>
      </x:c>
      <x:c r="BP4" t="str">
        <x:v>联合优化视频预测与双臂动作生成，让策略在想象未来场景的同时协调执行。</x:v>
      </x:c>
      <x:c r="BQ4"/>
      <x:c r="BR4" t="str">
        <x:v>论文报告在上述设置中成功率高于 ACT 基线；具体差值需核对实验表。</x:v>
      </x:c>
      <x:c r="BS4" t="str">
        <x:v>可测试视觉预期是否改善双臂协调。</x:v>
      </x:c>
      <x:c r="BT4" t="str">
        <x:v>真机环境和失败类型的完整覆盖仍需查正文。</x:v>
      </x:c>
      <x:c r="BU4"/>
      <x:c r="BV4" t="str">
        <x:v>High：双臂普通夹爪可对照 ACT 与带未来预测的策略。</x:v>
      </x:c>
      <x:c r="BW4" t="str">
        <x:v>官方摘要/论文页; https://openaccess.thecvf.com/content/ICCV2025/html/Xu_Diffusion-Based_Imaginative_Coordination_for_Bimanual_Manipulation_ICCV_2025_paper.html; 核验于 2026-09-23. 仅为摘要级速读；原 Evidence Quality 不变。 - 核验层级：摘要有可追溯来源</x:v>
      </x:c>
      <x:c r="BX4" t="str">
        <x:v>title</x:v>
      </x:c>
      <x:c r="BY4" t="n">
        <x:v>0</x:v>
      </x:c>
      <x:c r="BZ4" t="n">
        <x:v>0</x:v>
      </x:c>
    </x:row>
    <x:row r="5" ht="58" customHeight="1">
      <x:c r="A5" t="str">
        <x:v>D004</x:v>
      </x:c>
      <x:c r="B5" t="str">
        <x:v>VTDexManip: A Dataset and Benchmark for Visual-tactile Pretraining and Dexterous Manipulation with Reinforcement Learning</x:v>
      </x:c>
      <x:c r="C5" t="n">
        <x:v>2025</x:v>
      </x:c>
      <x:c r="D5" t="str">
        <x:v>Dataset / Benchmark</x:v>
      </x:c>
      <x:c r="E5" t="str">
        <x:v>ICLR</x:v>
      </x:c>
      <x:c r="F5" t="str">
        <x:v>ICLR 2025 Conference</x:v>
      </x:c>
      <x:c r="G5" t="str">
        <x:v>A (CCF 7th edition; venue category not independently extracted from official PDF)</x:v>
      </x:c>
      <x:c r="H5" t="str">
        <x:v>Dexterous Hand / Dexterous Manipulation; Dataset / Benchmark</x:v>
      </x:c>
      <x:c r="I5" t="str">
        <x:v>Visual-Tactile / RL Benchmark</x:v>
      </x:c>
      <x:c r="J5" t="str">
        <x:v>visual tactile; dexterous manipulation; dataset; benchmark</x:v>
      </x:c>
      <x:c r="K5" t="e">
        <x:f>HYPERLINK("https://proceedings.iclr.cc/paper_files/paper/2025/hash/e19b6f65791e350347bcff8a3955cb5b-Abstract-Conference.html","论文")</x:f>
        <x:v>HYPERLINK is not implemented. linkLocation=https://proceedings.iclr.cc/paper_files/paper/2025/hash/e19b6f65791e350347bcff8a3955cb5b-Abstract-Conference.html, friendlyName=论文</x:v>
      </x:c>
      <x:c r="L5"/>
      <x:c r="M5"/>
      <x:c r="N5" t="e">
        <x:f>HYPERLINK("https://github.com/LQTS/VTDexManip","GitHub")</x:f>
        <x:v>HYPERLINK is not implemented. linkLocation=https://github.com/LQTS/VTDexManip, friendlyName=GitHub</x:v>
      </x:c>
      <x:c r="O5" t="str">
        <x:v>Unknown</x:v>
      </x:c>
      <x:c r="P5" t="str">
        <x:v>Yes (paper release claim; not downloaded)</x:v>
      </x:c>
      <x:c r="Q5"/>
      <x:c r="R5" t="str">
        <x:v>Mixed</x:v>
      </x:c>
      <x:c r="S5" t="str">
        <x:v>Dexterous Hand / Bimanual</x:v>
      </x:c>
      <x:c r="T5" t="str">
        <x:v>ICLR Proceedings</x:v>
      </x:c>
      <x:c r="U5" t="str">
        <x:v>P2</x:v>
      </x:c>
      <x:c r="V5" t="str">
        <x:v>Six tasks benchmark; paper says visual-tactile policy can deploy in reality.</x:v>
      </x:c>
      <x:c r="W5" t="str">
        <x:v>Official Verified</x:v>
      </x:c>
      <x:c r="X5" t="str">
        <x:v>2026-09-18</x:v>
      </x:c>
      <x:c r="Y5" t="str">
        <x:v>Benchmark / Dataset</x:v>
      </x:c>
      <x:c r="Z5" t="str">
        <x:v>02_Papers/10_Benchmark_Dataset/VTDexManip.md</x:v>
      </x:c>
      <x:c r="AA5" t="str">
        <x:v>—</x:v>
      </x:c>
      <x:c r="AB5" t="str">
        <x:v>未可靠匹配</x:v>
      </x:c>
      <x:c r="AC5" t="str">
        <x:v>2026-09-25</x:v>
      </x:c>
      <x:c r="AD5" t="str">
        <x:v>灵巧操作需要结合视觉和触觉，而人类操作视频的机器人预训练多限于视觉与语言。</x:v>
      </x:c>
      <x:c r="AE5" t="str">
        <x:v>Unknown / Needs Full-Paper Verification</x:v>
      </x:c>
      <x:c r="AF5" t="str">
        <x:v>Unknown / Needs Full-Paper Verification</x:v>
      </x:c>
      <x:c r="AG5" t="str">
        <x:v>六项复杂灵巧操作任务；论文比较 18 种方法。</x:v>
      </x:c>
      <x:c r="AH5" t="str">
        <x:v>Unknown / Needs Full-Paper Verification</x:v>
      </x:c>
      <x:c r="AI5" t="str">
        <x:v>Unknown / Needs Full-Paper Verification</x:v>
      </x:c>
      <x:c r="AJ5" t="str">
        <x:v>Unknown / Needs Full-Paper Verification</x:v>
      </x:c>
      <x:c r="AK5" t="str">
        <x:v>Unknown / Needs Full-Paper Verification</x:v>
      </x:c>
      <x:c r="AL5" t="str">
        <x:v>Unknown / Needs Full-Paper Verification</x:v>
      </x:c>
      <x:c r="AM5" t="str">
        <x:v>Library Analysis / Research Note: Unknown / Needs Full-Paper Verification</x:v>
      </x:c>
      <x:c r="AN5" t="str">
        <x:v>Unknown / Needs Project-Specific Review</x:v>
      </x:c>
      <x:c r="AO5" t="str">
        <x:v>Unknown</x:v>
      </x:c>
      <x:c r="AP5" t="str">
        <x:v>B</x:v>
      </x:c>
      <x:c r="AQ5"/>
      <x:c r="AR5" t="str">
        <x:v>Unknown / Not Explicitly Reported in the currently accessible sources.</x:v>
      </x:c>
      <x:c r="AS5" t="str">
        <x:v>Unknown / Not Explicitly Reported in the currently accessible sources.</x:v>
      </x:c>
      <x:c r="AT5" t="str">
        <x:v>—</x:v>
      </x:c>
      <x:c r="AU5" t="str">
        <x:v>Unknown</x:v>
      </x:c>
      <x:c r="AV5" t="str">
        <x:v>B-Fulltext-Unavailable</x:v>
      </x:c>
      <x:c r="AW5" t="str">
        <x:v>Not Found</x:v>
      </x:c>
      <x:c r="AX5" t="str">
        <x:v>Unknown</x:v>
      </x:c>
      <x:c r="AY5" t="str">
        <x:v>Unknown</x:v>
      </x:c>
      <x:c r="AZ5" t="str">
        <x:v>https://proceedings.iclr.cc/paper_files/paper/2025/file/e19b6f65791e350347bcff8a3955cb5b-Paper-Conference.pdf</x:v>
      </x:c>
      <x:c r="BA5" t="str">
        <x:v>No</x:v>
      </x:c>
      <x:c r="BB5" t="str">
        <x:v>No</x:v>
      </x:c>
      <x:c r="BC5" t="str">
        <x:v>No</x:v>
      </x:c>
      <x:c r="BD5" t="str">
        <x:v>No</x:v>
      </x:c>
      <x:c r="BE5" t="str">
        <x:v>No</x:v>
      </x:c>
      <x:c r="BF5" t="str">
        <x:v>No</x:v>
      </x:c>
      <x:c r="BG5" t="str">
        <x:v>No</x:v>
      </x:c>
      <x:c r="BH5" t="str">
        <x:v>Unresolved</x:v>
      </x:c>
      <x:c r="BI5" t="str">
        <x:v>Not Found After Verification</x:v>
      </x:c>
      <x:c r="BJ5" t="str">
        <x:v>Not Found After Verification</x:v>
      </x:c>
      <x:c r="BK5" t="str">
        <x:v>Audit logged - deep extraction pending</x:v>
      </x:c>
      <x:c r="BL5" t="str">
        <x:v>false</x:v>
      </x:c>
      <x:c r="BM5"/>
      <x:c r="BN5" t="str">
        <x:v>研究问题：灵巧操作需要结合视觉和触觉，而人类操作视频的机器人预训练多限于视觉与语言。；之前方法的问题：已有视频预训练主要在简单平行夹爪上部署，难覆盖触觉驱动的灵巧手任务。；核心思路：VTDexManip 提供视觉—触觉灵巧操作基准和强化学习技能框架，比较 18 种预训练或非预训练方法。；数据集与评测基准：六项复杂灵巧操作任务；论文比较 18 种方法。；为什么重要：有助于辨别触觉信息在灵巧操作中的作用。；与当前项目的关系：Medium：多模态融合可借鉴，但灵巧手任务与普通夹爪不同。；主要局限：摘要不能证明触觉收益能在无触觉或低成本普通夹爪上复现。</x:v>
      </x:c>
      <x:c r="BO5" t="str">
        <x:v>已有视频预训练主要在简单平行夹爪上部署，难覆盖触觉驱动的灵巧手任务。</x:v>
      </x:c>
      <x:c r="BP5" t="str">
        <x:v>VTDexManip 提供视觉—触觉灵巧操作基准和强化学习技能框架，比较 18 种预训练或非预训练方法。</x:v>
      </x:c>
      <x:c r="BQ5"/>
      <x:c r="BR5" t="str">
        <x:v>摘要给出六任务与 18 方法的评测设置；本轮未确认可直接引用的胜率。</x:v>
      </x:c>
      <x:c r="BS5" t="str">
        <x:v>有助于辨别触觉信息在灵巧操作中的作用。</x:v>
      </x:c>
      <x:c r="BT5" t="str">
        <x:v>摘要不能证明触觉收益能在无触觉或低成本普通夹爪上复现。</x:v>
      </x:c>
      <x:c r="BU5"/>
      <x:c r="BV5" t="str">
        <x:v>Medium：多模态融合可借鉴，但灵巧手任务与普通夹爪不同。</x:v>
      </x:c>
      <x:c r="BW5" t="str">
        <x:v>官方摘要/论文页; https://proceedings.iclr.cc/paper_files/paper/2025/hash/e19b6f65791e350347bcff8a3955cb5b-Abstract-Conference.html; 核验于 2026-09-23. 仅为摘要级速读；原 Evidence Quality 不变。 - 核验层级：摘要有可追溯来源</x:v>
      </x:c>
      <x:c r="BX5" t="str">
        <x:v>Unresolved; no reliable citation service count</x:v>
      </x:c>
      <x:c r="BY5" t="n">
        <x:v>0</x:v>
      </x:c>
      <x:c r="BZ5" t="n">
        <x:v>0</x:v>
      </x:c>
    </x:row>
    <x:row r="6" ht="58" customHeight="1">
      <x:c r="A6" t="str">
        <x:v>D005</x:v>
      </x:c>
      <x:c r="B6" t="str">
        <x:v>Cross-Embodiment Dexterous Grasping with Reinforcement Learning</x:v>
      </x:c>
      <x:c r="C6" t="n">
        <x:v>2025</x:v>
      </x:c>
      <x:c r="D6" t="str">
        <x:v>Method Paper</x:v>
      </x:c>
      <x:c r="E6" t="str">
        <x:v>ICLR</x:v>
      </x:c>
      <x:c r="F6" t="str">
        <x:v>ICLR 2025 Conference</x:v>
      </x:c>
      <x:c r="G6" t="str">
        <x:v>A (CCF 7th edition; venue category not independently extracted from official PDF)</x:v>
      </x:c>
      <x:c r="H6" t="str">
        <x:v>Dexterous Hand / Dexterous Manipulation</x:v>
      </x:c>
      <x:c r="I6" t="str">
        <x:v>Cross-Embodiment / RL</x:v>
      </x:c>
      <x:c r="J6" t="str">
        <x:v>cross embodiment; dexterous grasping; reinforcement learning</x:v>
      </x:c>
      <x:c r="K6" t="e">
        <x:f>HYPERLINK("https://proceedings.iclr.cc/paper_files/paper/2025/hash/ca8c6f28d8ba1e732e3f217ab05c4ec0-Abstract-Conference.html","论文")</x:f>
        <x:v>HYPERLINK is not implemented. linkLocation=https://proceedings.iclr.cc/paper_files/paper/2025/hash/ca8c6f28d8ba1e732e3f217ab05c4ec0-Abstract-Conference.html, friendlyName=论文</x:v>
      </x:c>
      <x:c r="L6"/>
      <x:c r="M6"/>
      <x:c r="N6"/>
      <x:c r="O6" t="str">
        <x:v>Unknown</x:v>
      </x:c>
      <x:c r="P6" t="str">
        <x:v>Unknown</x:v>
      </x:c>
      <x:c r="Q6"/>
      <x:c r="R6" t="str">
        <x:v>Unknown</x:v>
      </x:c>
      <x:c r="S6" t="str">
        <x:v>Dexterous Hand</x:v>
      </x:c>
      <x:c r="T6" t="str">
        <x:v>ICLR Proceedings</x:v>
      </x:c>
      <x:c r="U6" t="str">
        <x:v>P2</x:v>
      </x:c>
      <x:c r="V6" t="str">
        <x:v>Universal policy for multiple hand embodiments; code/platform pending.</x:v>
      </x:c>
      <x:c r="W6" t="str">
        <x:v>Official Verified</x:v>
      </x:c>
      <x:c r="X6" t="str">
        <x:v>2026-09-18</x:v>
      </x:c>
      <x:c r="Y6" t="str">
        <x:v>Dexterous</x:v>
      </x:c>
      <x:c r="Z6" t="str">
        <x:v>02_Papers/04_Dexterous/Cross-Embodiment_Dexterous_Grasping_with_Reinforcement_Learning.md</x:v>
      </x:c>
      <x:c r="AA6" t="n">
        <x:v>0</x:v>
      </x:c>
      <x:c r="AB6" t="str">
        <x:v>OpenAlex</x:v>
      </x:c>
      <x:c r="AC6" t="str">
        <x:v>2026-09-25</x:v>
      </x:c>
      <x:c r="AD6" t="str">
        <x:v>不同灵巧手硬件如何共享抓取能力。</x:v>
      </x:c>
      <x:c r="AE6" t="str">
        <x:v>Unknown / Needs Full-Paper Verification</x:v>
      </x:c>
      <x:c r="AF6" t="str">
        <x:v>Unknown / Needs Full-Paper Verification</x:v>
      </x:c>
      <x:c r="AG6" t="str">
        <x:v>已核验摘要未明确说明；需查阅论文方法与实验章节。</x:v>
      </x:c>
      <x:c r="AH6" t="str">
        <x:v>Unknown / Needs Full-Paper Verification</x:v>
      </x:c>
      <x:c r="AI6" t="str">
        <x:v>Unknown / Needs Full-Paper Verification</x:v>
      </x:c>
      <x:c r="AJ6" t="str">
        <x:v>Unknown / Needs Full-Paper Verification</x:v>
      </x:c>
      <x:c r="AK6" t="str">
        <x:v>已核验摘要未给可安全复述的统一量化结果。</x:v>
      </x:c>
      <x:c r="AL6" t="str">
        <x:v>Unknown / Needs Full-Paper Verification</x:v>
      </x:c>
      <x:c r="AM6" t="str">
        <x:v>Library Analysis / Research Note: Unknown / Needs Full-Paper Verification</x:v>
      </x:c>
      <x:c r="AN6" t="str">
        <x:v>Unknown / Needs Project-Specific Review</x:v>
      </x:c>
      <x:c r="AO6" t="str">
        <x:v>Unknown</x:v>
      </x:c>
      <x:c r="AP6" t="str">
        <x:v>B</x:v>
      </x:c>
      <x:c r="AQ6"/>
      <x:c r="AR6" t="str">
        <x:v>Unknown / Not Explicitly Reported in the currently accessible sources.</x:v>
      </x:c>
      <x:c r="AS6" t="str">
        <x:v>Unknown / Not Explicitly Reported in the currently accessible sources.</x:v>
      </x:c>
      <x:c r="AT6" t="str">
        <x:v>https://openalex.org/W4403883977</x:v>
      </x:c>
      <x:c r="AU6" t="str">
        <x:v>Unknown</x:v>
      </x:c>
      <x:c r="AV6" t="str">
        <x:v>B-Fulltext-Unavailable</x:v>
      </x:c>
      <x:c r="AW6" t="str">
        <x:v>Not Found</x:v>
      </x:c>
      <x:c r="AX6" t="str">
        <x:v>Unknown</x:v>
      </x:c>
      <x:c r="AY6" t="str">
        <x:v>Unknown</x:v>
      </x:c>
      <x:c r="AZ6" t="str">
        <x:v>https://proceedings.iclr.cc/paper_files/paper/2025/file/ca8c6f28d8ba1e732e3f217ab05c4ec0-Paper-Conference.pdf</x:v>
      </x:c>
      <x:c r="BA6" t="str">
        <x:v>No</x:v>
      </x:c>
      <x:c r="BB6" t="str">
        <x:v>No</x:v>
      </x:c>
      <x:c r="BC6" t="str">
        <x:v>No</x:v>
      </x:c>
      <x:c r="BD6" t="str">
        <x:v>No</x:v>
      </x:c>
      <x:c r="BE6" t="str">
        <x:v>No</x:v>
      </x:c>
      <x:c r="BF6" t="str">
        <x:v>No</x:v>
      </x:c>
      <x:c r="BG6" t="str">
        <x:v>No</x:v>
      </x:c>
      <x:c r="BH6" t="str">
        <x:v>Matched</x:v>
      </x:c>
      <x:c r="BI6" t="str">
        <x:v>Not Found After Verification</x:v>
      </x:c>
      <x:c r="BJ6" t="str">
        <x:v>Not Found After Verification</x:v>
      </x:c>
      <x:c r="BK6" t="str">
        <x:v>Audit logged - deep extraction pending</x:v>
      </x:c>
      <x:c r="BL6" t="str">
        <x:v>false</x:v>
      </x:c>
      <x:c r="BM6"/>
      <x:c r="BN6" t="str">
        <x:v>研究问题：不同灵巧手硬件如何共享抓取能力。；之前方法的问题：各手型关节和动作维度不同，单一策略难直接复用。；核心思路：通过统一动作表示与强化学习，训练可跨不同灵巧手迁移的抓取策略。具体接口需核对正文。；主要结果：已核验摘要未给可安全复述的统一量化结果。；为什么重要：强调动作接口是跨本体迁移的关键。；与当前项目的关系：Medium：普通夹爪硬件不同，但统一动作表示的思路有用。；主要局限：跨手型实验不能直接证明跨普通夹爪双臂成功。</x:v>
      </x:c>
      <x:c r="BO6" t="str">
        <x:v>各手型关节和动作维度不同，单一策略难直接复用。</x:v>
      </x:c>
      <x:c r="BP6" t="str">
        <x:v>通过统一动作表示与强化学习，训练可跨不同灵巧手迁移的抓取策略。具体接口需核对正文。</x:v>
      </x:c>
      <x:c r="BQ6"/>
      <x:c r="BR6" t="str">
        <x:v>已核验摘要未给可安全复述的统一量化结果。</x:v>
      </x:c>
      <x:c r="BS6" t="str">
        <x:v>强调动作接口是跨本体迁移的关键。</x:v>
      </x:c>
      <x:c r="BT6" t="str">
        <x:v>跨手型实验不能直接证明跨普通夹爪双臂成功。</x:v>
      </x:c>
      <x:c r="BU6"/>
      <x:c r="BV6" t="str">
        <x:v>Medium：普通夹爪硬件不同，但统一动作表示的思路有用。</x:v>
      </x:c>
      <x:c r="BW6" t="str">
        <x:v>官方摘要/论文页; https://proceedings.iclr.cc/paper_files/paper/2025/hash/ca8c6f28d8ba1e732e3f217ab05c4ec0-Abstract-Conference.html; 核验于 2026-09-23. 仅为摘要级速读；原 Evidence Quality 不变。 - 核验层级：摘要有可追溯来源</x:v>
      </x:c>
      <x:c r="BX6" t="str">
        <x:v>final-pdf-author</x:v>
      </x:c>
      <x:c r="BY6" t="n">
        <x:v>0</x:v>
      </x:c>
      <x:c r="BZ6" t="n">
        <x:v>0</x:v>
      </x:c>
    </x:row>
    <x:row r="7" ht="58" customHeight="1">
      <x:c r="A7" t="str">
        <x:v>D006</x:v>
      </x:c>
      <x:c r="B7" t="str">
        <x:v>Rapidly Adapting Policies to the Real-World via Simulation-Guided Fine-Tuning</x:v>
      </x:c>
      <x:c r="C7" t="n">
        <x:v>2025</x:v>
      </x:c>
      <x:c r="D7" t="str">
        <x:v>Method Paper</x:v>
      </x:c>
      <x:c r="E7" t="str">
        <x:v>ICLR</x:v>
      </x:c>
      <x:c r="F7" t="str">
        <x:v>ICLR 2025 Conference</x:v>
      </x:c>
      <x:c r="G7" t="str">
        <x:v>A (CCF 7th edition; venue category not independently extracted from official PDF)</x:v>
      </x:c>
      <x:c r="H7" t="str">
        <x:v>Dexterous Hand / Dexterous Manipulation</x:v>
      </x:c>
      <x:c r="I7" t="str">
        <x:v>Sim-to-Real / Data Efficiency</x:v>
      </x:c>
      <x:c r="J7" t="str">
        <x:v>Dexterous Manipulation; Sim-to-Real / Data Efficiency</x:v>
      </x:c>
      <x:c r="K7" t="e">
        <x:f>HYPERLINK("https://proceedings.iclr.cc/paper_files/paper/2025/hash/e68274fc4f158dbcbd4dddc672f7ee9c-Abstract-Conference.html","论文")</x:f>
        <x:v>HYPERLINK is not implemented. linkLocation=https://proceedings.iclr.cc/paper_files/paper/2025/hash/e68274fc4f158dbcbd4dddc672f7ee9c-Abstract-Conference.html, friendlyName=论文</x:v>
      </x:c>
      <x:c r="L7"/>
      <x:c r="M7"/>
      <x:c r="N7"/>
      <x:c r="O7" t="str">
        <x:v>Unknown</x:v>
      </x:c>
      <x:c r="P7" t="str">
        <x:v>Unknown</x:v>
      </x:c>
      <x:c r="Q7"/>
      <x:c r="R7" t="str">
        <x:v>Yes</x:v>
      </x:c>
      <x:c r="S7" t="str">
        <x:v>Dexterous Hand</x:v>
      </x:c>
      <x:c r="T7" t="str">
        <x:v>ICLR Proceedings</x:v>
      </x:c>
      <x:c r="U7" t="str">
        <x:v>P2</x:v>
      </x:c>
      <x:c r="V7" t="str">
        <x:v>Abstract reports five real-world dexterous manipulation tasks.</x:v>
      </x:c>
      <x:c r="W7" t="str">
        <x:v>Official Verified</x:v>
      </x:c>
      <x:c r="X7" t="str">
        <x:v>2026-09-18</x:v>
      </x:c>
      <x:c r="Y7" t="str">
        <x:v>Sim2Real</x:v>
      </x:c>
      <x:c r="Z7" t="str">
        <x:v>02_Papers/05_Sim2Real/Rapidly_Adapting_Policies_to_the_Real-World_via_Simulation-Guided_Fine-Tuning.md</x:v>
      </x:c>
      <x:c r="AA7" t="str">
        <x:v>—</x:v>
      </x:c>
      <x:c r="AB7" t="str">
        <x:v>未可靠匹配</x:v>
      </x:c>
      <x:c r="AC7" t="str">
        <x:v>2026-09-25</x:v>
      </x:c>
      <x:c r="AD7" t="str">
        <x:v>机器人策略泛化需要大量高质量真实数据。</x:v>
      </x:c>
      <x:c r="AE7" t="str">
        <x:v>Unknown / Needs Full-Paper Verification</x:v>
      </x:c>
      <x:c r="AF7" t="str">
        <x:v>Unknown / Needs Full-Paper Verification</x:v>
      </x:c>
      <x:c r="AG7" t="str">
        <x:v>已核验摘要未明确说明；需查阅论文方法与实验章节。</x:v>
      </x:c>
      <x:c r="AH7" t="str">
        <x:v>Unknown / Needs Full-Paper Verification</x:v>
      </x:c>
      <x:c r="AI7" t="str">
        <x:v>Unknown / Needs Full-Paper Verification</x:v>
      </x:c>
      <x:c r="AJ7" t="str">
        <x:v>Unknown / Needs Full-Paper Verification</x:v>
      </x:c>
      <x:c r="AK7" t="str">
        <x:v>作者报告所需真实样本最多减少约一个数量级，并优于基线微调方法；具体任务见论文。</x:v>
      </x:c>
      <x:c r="AL7" t="str">
        <x:v>Unknown / Needs Full-Paper Verification</x:v>
      </x:c>
      <x:c r="AM7" t="str">
        <x:v>Library Analysis / Research Note: Unknown / Needs Full-Paper Verification</x:v>
      </x:c>
      <x:c r="AN7" t="str">
        <x:v>Unknown / Needs Project-Specific Review</x:v>
      </x:c>
      <x:c r="AO7" t="str">
        <x:v>Unknown</x:v>
      </x:c>
      <x:c r="AP7" t="str">
        <x:v>B</x:v>
      </x:c>
      <x:c r="AQ7"/>
      <x:c r="AR7" t="str">
        <x:v>Unknown / Not Explicitly Reported in the currently accessible sources.</x:v>
      </x:c>
      <x:c r="AS7" t="str">
        <x:v>Unknown / Not Explicitly Reported in the currently accessible sources.</x:v>
      </x:c>
      <x:c r="AT7" t="str">
        <x:v>—</x:v>
      </x:c>
      <x:c r="AU7" t="str">
        <x:v>Unknown</x:v>
      </x:c>
      <x:c r="AV7" t="str">
        <x:v>B-Fulltext-Unavailable</x:v>
      </x:c>
      <x:c r="AW7" t="str">
        <x:v>Not Found</x:v>
      </x:c>
      <x:c r="AX7" t="str">
        <x:v>Unknown</x:v>
      </x:c>
      <x:c r="AY7" t="str">
        <x:v>Unknown</x:v>
      </x:c>
      <x:c r="AZ7" t="str">
        <x:v>https://proceedings.iclr.cc/paper_files/paper/2025/file/e68274fc4f158dbcbd4dddc672f7ee9c-Paper-Conference.pdf</x:v>
      </x:c>
      <x:c r="BA7" t="str">
        <x:v>No</x:v>
      </x:c>
      <x:c r="BB7" t="str">
        <x:v>No</x:v>
      </x:c>
      <x:c r="BC7" t="str">
        <x:v>No</x:v>
      </x:c>
      <x:c r="BD7" t="str">
        <x:v>No</x:v>
      </x:c>
      <x:c r="BE7" t="str">
        <x:v>No</x:v>
      </x:c>
      <x:c r="BF7" t="str">
        <x:v>No</x:v>
      </x:c>
      <x:c r="BG7" t="str">
        <x:v>No</x:v>
      </x:c>
      <x:c r="BH7" t="str">
        <x:v>Unresolved</x:v>
      </x:c>
      <x:c r="BI7" t="str">
        <x:v>Not Found After Verification</x:v>
      </x:c>
      <x:c r="BJ7" t="str">
        <x:v>Not Found After Verification</x:v>
      </x:c>
      <x:c r="BK7" t="str">
        <x:v>Audit logged - deep extraction pending</x:v>
      </x:c>
      <x:c r="BL7" t="str">
        <x:v>false</x:v>
      </x:c>
      <x:c r="BM7"/>
      <x:c r="BN7" t="str">
        <x:v>研究问题：机器人策略泛化需要大量高质量真实数据。；之前方法的问题：普通微调方法在真机新任务上仍需要较多示范。；核心思路：Simulation-Guided Fine-Tuning 从物理仿真提取结构先验，加速真机策略适配。；主要结果：作者报告所需真实样本最多减少约一个数量级，并优于基线微调方法；具体任务见论文。；为什么重要：提供小数据真机适配的可比较路线。；与当前项目的关系：High：双臂普通夹爪的真实示范预算有限。；主要局限：仿真先验对接触和相机变化的稳定性需在目标硬件验证。</x:v>
      </x:c>
      <x:c r="BO7" t="str">
        <x:v>普通微调方法在真机新任务上仍需要较多示范。</x:v>
      </x:c>
      <x:c r="BP7" t="str">
        <x:v>Simulation-Guided Fine-Tuning 从物理仿真提取结构先验，加速真机策略适配。</x:v>
      </x:c>
      <x:c r="BQ7"/>
      <x:c r="BR7" t="str">
        <x:v>作者报告所需真实样本最多减少约一个数量级，并优于基线微调方法；具体任务见论文。</x:v>
      </x:c>
      <x:c r="BS7" t="str">
        <x:v>提供小数据真机适配的可比较路线。</x:v>
      </x:c>
      <x:c r="BT7" t="str">
        <x:v>仿真先验对接触和相机变化的稳定性需在目标硬件验证。</x:v>
      </x:c>
      <x:c r="BU7"/>
      <x:c r="BV7" t="str">
        <x:v>High：双臂普通夹爪的真实示范预算有限。</x:v>
      </x:c>
      <x:c r="BW7" t="str">
        <x:v>官方摘要/论文页; https://proceedings.iclr.cc/paper_files/paper/2025/hash/e68274fc4f158dbcbd4dddc672f7ee9c-Abstract-Conference.html; 核验于 2026-09-23. 仅为摘要级速读；原 Evidence Quality 不变。 - 核验层级：摘要有可追溯来源</x:v>
      </x:c>
      <x:c r="BX7" t="str">
        <x:v>Unresolved; no reliable citation service count</x:v>
      </x:c>
      <x:c r="BY7" t="n">
        <x:v>0</x:v>
      </x:c>
      <x:c r="BZ7" t="n">
        <x:v>0</x:v>
      </x:c>
    </x:row>
    <x:row r="8" ht="58" customHeight="1">
      <x:c r="A8" t="str">
        <x:v>D007</x:v>
      </x:c>
      <x:c r="B8" t="str">
        <x:v>DexTrack: Towards Generalizable Neural Tracking Control for Dexterous Manipulation from Human References</x:v>
      </x:c>
      <x:c r="C8" t="n">
        <x:v>2025</x:v>
      </x:c>
      <x:c r="D8" t="str">
        <x:v>Method Paper</x:v>
      </x:c>
      <x:c r="E8" t="str">
        <x:v>ICLR</x:v>
      </x:c>
      <x:c r="F8" t="str">
        <x:v>ICLR 2025 Conference</x:v>
      </x:c>
      <x:c r="G8" t="str">
        <x:v>A (CCF 7th edition; venue category not independently extracted from official PDF)</x:v>
      </x:c>
      <x:c r="H8" t="str">
        <x:v>Dexterous Hand / Dexterous Manipulation</x:v>
      </x:c>
      <x:c r="I8" t="str">
        <x:v>Human Reference / Tracking Control</x:v>
      </x:c>
      <x:c r="J8" t="str">
        <x:v>Dexterous Manipulation; Human Reference / Tracking Control</x:v>
      </x:c>
      <x:c r="K8" t="e">
        <x:f>HYPERLINK("https://proceedings.iclr.cc/paper_files/paper/2025/hash/d5a1f97d2b922da92e880d13b7d2bf02-Abstract-Conference.html","论文")</x:f>
        <x:v>HYPERLINK is not implemented. linkLocation=https://proceedings.iclr.cc/paper_files/paper/2025/hash/d5a1f97d2b922da92e880d13b7d2bf02-Abstract-Conference.html, friendlyName=论文</x:v>
      </x:c>
      <x:c r="L8"/>
      <x:c r="M8"/>
      <x:c r="N8"/>
      <x:c r="O8" t="str">
        <x:v>Unknown</x:v>
      </x:c>
      <x:c r="P8" t="str">
        <x:v>Unknown</x:v>
      </x:c>
      <x:c r="Q8"/>
      <x:c r="R8" t="str">
        <x:v>Unknown</x:v>
      </x:c>
      <x:c r="S8" t="str">
        <x:v>Dexterous Hand</x:v>
      </x:c>
      <x:c r="T8" t="str">
        <x:v>ICLR Proceedings</x:v>
      </x:c>
      <x:c r="U8" t="str">
        <x:v>P2</x:v>
      </x:c>
      <x:c r="V8"/>
      <x:c r="W8" t="str">
        <x:v>Official Verified</x:v>
      </x:c>
      <x:c r="X8" t="str">
        <x:v>2026-09-18</x:v>
      </x:c>
      <x:c r="Y8" t="str">
        <x:v>Dexterous</x:v>
      </x:c>
      <x:c r="Z8" t="str">
        <x:v>02_Papers/04_Dexterous/DexTrack.md</x:v>
      </x:c>
      <x:c r="AA8" t="n">
        <x:v>0</x:v>
      </x:c>
      <x:c r="AB8" t="str">
        <x:v>OpenAlex</x:v>
      </x:c>
      <x:c r="AC8" t="str">
        <x:v>2026-09-25</x:v>
      </x:c>
      <x:c r="AD8" t="str">
        <x:v>机器人灵巧手如何稳定跟踪人类参考动作。</x:v>
      </x:c>
      <x:c r="AE8" t="str">
        <x:v>Unknown / Needs Full-Paper Verification</x:v>
      </x:c>
      <x:c r="AF8" t="str">
        <x:v>Unknown / Needs Full-Paper Verification</x:v>
      </x:c>
      <x:c r="AG8" t="str">
        <x:v>已核验摘要未明确说明；需查阅论文方法与实验章节。</x:v>
      </x:c>
      <x:c r="AH8" t="str">
        <x:v>Unknown / Needs Full-Paper Verification</x:v>
      </x:c>
      <x:c r="AI8" t="str">
        <x:v>Unknown / Needs Full-Paper Verification</x:v>
      </x:c>
      <x:c r="AJ8" t="str">
        <x:v>Unknown / Needs Full-Paper Verification</x:v>
      </x:c>
      <x:c r="AK8" t="str">
        <x:v>作者报告成功率比主要基线高 10 个百分点以上。</x:v>
      </x:c>
      <x:c r="AL8" t="str">
        <x:v>Unknown / Needs Full-Paper Verification</x:v>
      </x:c>
      <x:c r="AM8" t="str">
        <x:v>Library Analysis / Research Note: Unknown / Needs Full-Paper Verification</x:v>
      </x:c>
      <x:c r="AN8" t="str">
        <x:v>Unknown / Needs Project-Specific Review</x:v>
      </x:c>
      <x:c r="AO8" t="str">
        <x:v>Unknown</x:v>
      </x:c>
      <x:c r="AP8" t="str">
        <x:v>B</x:v>
      </x:c>
      <x:c r="AQ8"/>
      <x:c r="AR8" t="str">
        <x:v>Unknown / Not Explicitly Reported in the currently accessible sources.</x:v>
      </x:c>
      <x:c r="AS8" t="str">
        <x:v>Unknown / Not Explicitly Reported in the currently accessible sources.</x:v>
      </x:c>
      <x:c r="AT8" t="str">
        <x:v>https://openalex.org/W4407590583</x:v>
      </x:c>
      <x:c r="AU8" t="str">
        <x:v>Unknown</x:v>
      </x:c>
      <x:c r="AV8" t="str">
        <x:v>B-Fulltext-Unavailable</x:v>
      </x:c>
      <x:c r="AW8" t="str">
        <x:v>Not Found</x:v>
      </x:c>
      <x:c r="AX8" t="str">
        <x:v>Unknown</x:v>
      </x:c>
      <x:c r="AY8" t="str">
        <x:v>Unknown</x:v>
      </x:c>
      <x:c r="AZ8" t="str">
        <x:v>https://proceedings.iclr.cc/paper_files/paper/2025/file/d5a1f97d2b922da92e880d13b7d2bf02-Paper-Conference.pdf</x:v>
      </x:c>
      <x:c r="BA8" t="str">
        <x:v>No</x:v>
      </x:c>
      <x:c r="BB8" t="str">
        <x:v>No</x:v>
      </x:c>
      <x:c r="BC8" t="str">
        <x:v>No</x:v>
      </x:c>
      <x:c r="BD8" t="str">
        <x:v>No</x:v>
      </x:c>
      <x:c r="BE8" t="str">
        <x:v>No</x:v>
      </x:c>
      <x:c r="BF8" t="str">
        <x:v>No</x:v>
      </x:c>
      <x:c r="BG8" t="str">
        <x:v>No</x:v>
      </x:c>
      <x:c r="BH8" t="str">
        <x:v>Matched</x:v>
      </x:c>
      <x:c r="BI8" t="str">
        <x:v>Not Found After Verification</x:v>
      </x:c>
      <x:c r="BJ8" t="str">
        <x:v>Not Found After Verification</x:v>
      </x:c>
      <x:c r="BK8" t="str">
        <x:v>Audit logged - deep extraction pending</x:v>
      </x:c>
      <x:c r="BL8" t="str">
        <x:v>false</x:v>
      </x:c>
      <x:c r="BM8"/>
      <x:c r="BN8" t="str">
        <x:v>研究问题：机器人灵巧手如何稳定跟踪人类参考动作。；之前方法的问题：人手参考轨迹与真实机器人控制之间存在可达性和动力学差异。；核心思路：整理大规模成功跟踪示范，训练可泛化的神经控制器对齐人类参考。；主要结果：作者报告成功率比主要基线高 10 个百分点以上。；为什么重要：提供从人体动作到机器人控制的跟踪基线。；与当前项目的关系：Medium：对双臂数据重定向有启发，但夹爪动作更简单。；主要局限：人手跟踪成功不等于真实物体操作成功。</x:v>
      </x:c>
      <x:c r="BO8" t="str">
        <x:v>人手参考轨迹与真实机器人控制之间存在可达性和动力学差异。</x:v>
      </x:c>
      <x:c r="BP8" t="str">
        <x:v>整理大规模成功跟踪示范，训练可泛化的神经控制器对齐人类参考。</x:v>
      </x:c>
      <x:c r="BQ8"/>
      <x:c r="BR8" t="str">
        <x:v>作者报告成功率比主要基线高 10 个百分点以上。</x:v>
      </x:c>
      <x:c r="BS8" t="str">
        <x:v>提供从人体动作到机器人控制的跟踪基线。</x:v>
      </x:c>
      <x:c r="BT8" t="str">
        <x:v>人手跟踪成功不等于真实物体操作成功。</x:v>
      </x:c>
      <x:c r="BU8"/>
      <x:c r="BV8" t="str">
        <x:v>Medium：对双臂数据重定向有启发，但夹爪动作更简单。</x:v>
      </x:c>
      <x:c r="BW8" t="str">
        <x:v>官方摘要/论文页; https://proceedings.iclr.cc/paper_files/paper/2025/hash/d5a1f97d2b922da92e880d13b7d2bf02-Abstract-Conference.html; 核验于 2026-09-23. 仅为摘要级速读；原 Evidence Quality 不变。 - 核验层级：摘要有可追溯来源</x:v>
      </x:c>
      <x:c r="BX8" t="str">
        <x:v>final-title</x:v>
      </x:c>
      <x:c r="BY8" t="n">
        <x:v>0</x:v>
      </x:c>
      <x:c r="BZ8" t="n">
        <x:v>0</x:v>
      </x:c>
    </x:row>
    <x:row r="9" ht="58" customHeight="1">
      <x:c r="A9" t="str">
        <x:v>D008</x:v>
      </x:c>
      <x:c r="B9" t="str">
        <x:v>AutoCGP: Closed-Loop Concept-Guided Policies from Unlabeled Demonstrations</x:v>
      </x:c>
      <x:c r="C9" t="n">
        <x:v>2025</x:v>
      </x:c>
      <x:c r="D9" t="str">
        <x:v>Method Paper</x:v>
      </x:c>
      <x:c r="E9" t="str">
        <x:v>ICLR</x:v>
      </x:c>
      <x:c r="F9" t="str">
        <x:v>ICLR 2025 Conference</x:v>
      </x:c>
      <x:c r="G9" t="str">
        <x:v>A (CCF 7th edition; venue category not independently extracted from official PDF)</x:v>
      </x:c>
      <x:c r="H9" t="str">
        <x:v>Robot Manipulation / IL / Diffusion</x:v>
      </x:c>
      <x:c r="I9" t="str">
        <x:v>Unlabeled Demonstrations / Concepts</x:v>
      </x:c>
      <x:c r="J9" t="str">
        <x:v>Imitation Learning; Unlabeled Demonstrations / Concepts</x:v>
      </x:c>
      <x:c r="K9" t="e">
        <x:f>HYPERLINK("https://proceedings.iclr.cc/paper_files/paper/2025/hash/6eed1e1d5ed52deee53234786998245e-Abstract-Conference.html","论文")</x:f>
        <x:v>HYPERLINK is not implemented. linkLocation=https://proceedings.iclr.cc/paper_files/paper/2025/hash/6eed1e1d5ed52deee53234786998245e-Abstract-Conference.html, friendlyName=论文</x:v>
      </x:c>
      <x:c r="L9"/>
      <x:c r="M9"/>
      <x:c r="N9"/>
      <x:c r="O9" t="str">
        <x:v>Unknown</x:v>
      </x:c>
      <x:c r="P9" t="str">
        <x:v>Unknown</x:v>
      </x:c>
      <x:c r="Q9"/>
      <x:c r="R9" t="str">
        <x:v>Unknown</x:v>
      </x:c>
      <x:c r="S9" t="str">
        <x:v>Unknown</x:v>
      </x:c>
      <x:c r="T9" t="str">
        <x:v>ICLR Proceedings</x:v>
      </x:c>
      <x:c r="U9" t="str">
        <x:v>P1</x:v>
      </x:c>
      <x:c r="V9" t="str">
        <x:v>Uses concept discovery and concept-guided closed-loop policy learning.</x:v>
      </x:c>
      <x:c r="W9" t="str">
        <x:v>Official Verified</x:v>
      </x:c>
      <x:c r="X9" t="str">
        <x:v>2026-09-18</x:v>
      </x:c>
      <x:c r="Y9" t="str">
        <x:v>Diffusion / Flow / IL / RL</x:v>
      </x:c>
      <x:c r="Z9" t="str">
        <x:v>02_Papers/06_Diffusion_Flow_IL_RL/AutoCGP.md</x:v>
      </x:c>
      <x:c r="AA9" t="str">
        <x:v>—</x:v>
      </x:c>
      <x:c r="AB9" t="str">
        <x:v>未可靠匹配</x:v>
      </x:c>
      <x:c r="AC9" t="str">
        <x:v>2026-09-25</x:v>
      </x:c>
      <x:c r="AD9" t="str">
        <x:v>复杂操作把任务理解、感知和控制混在一起，难以稳定学习。</x:v>
      </x:c>
      <x:c r="AE9" t="str">
        <x:v>Unknown / Needs Full-Paper Verification</x:v>
      </x:c>
      <x:c r="AF9" t="str">
        <x:v>Unknown / Needs Full-Paper Verification</x:v>
      </x:c>
      <x:c r="AG9" t="str">
        <x:v>已核验摘要未明确说明；需查阅论文方法与实验章节。</x:v>
      </x:c>
      <x:c r="AH9" t="str">
        <x:v>Unknown / Needs Full-Paper Verification</x:v>
      </x:c>
      <x:c r="AI9" t="str">
        <x:v>Unknown / Needs Full-Paper Verification</x:v>
      </x:c>
      <x:c r="AJ9" t="str">
        <x:v>Unknown / Needs Full-Paper Verification</x:v>
      </x:c>
      <x:c r="AK9" t="str">
        <x:v>已核验摘要未给可安全复述的统一量化结果。</x:v>
      </x:c>
      <x:c r="AL9" t="str">
        <x:v>Unknown / Needs Full-Paper Verification</x:v>
      </x:c>
      <x:c r="AM9" t="str">
        <x:v>Library Analysis / Research Note: Unknown / Needs Full-Paper Verification</x:v>
      </x:c>
      <x:c r="AN9" t="str">
        <x:v>Unknown / Needs Project-Specific Review</x:v>
      </x:c>
      <x:c r="AO9" t="str">
        <x:v>Unknown</x:v>
      </x:c>
      <x:c r="AP9" t="str">
        <x:v>B</x:v>
      </x:c>
      <x:c r="AQ9"/>
      <x:c r="AR9" t="str">
        <x:v>Unknown / Not Explicitly Reported in the currently accessible sources.</x:v>
      </x:c>
      <x:c r="AS9" t="str">
        <x:v>Unknown / Not Explicitly Reported in the currently accessible sources.</x:v>
      </x:c>
      <x:c r="AT9" t="str">
        <x:v>—</x:v>
      </x:c>
      <x:c r="AU9" t="str">
        <x:v>Unknown</x:v>
      </x:c>
      <x:c r="AV9" t="str">
        <x:v>B-Fulltext-Unavailable</x:v>
      </x:c>
      <x:c r="AW9" t="str">
        <x:v>Not Found</x:v>
      </x:c>
      <x:c r="AX9" t="str">
        <x:v>Unknown</x:v>
      </x:c>
      <x:c r="AY9" t="str">
        <x:v>Unknown</x:v>
      </x:c>
      <x:c r="AZ9" t="str">
        <x:v>https://proceedings.iclr.cc/paper_files/paper/2025/file/6eed1e1d5ed52deee53234786998245e-Paper-Conference.pdf</x:v>
      </x:c>
      <x:c r="BA9" t="str">
        <x:v>No</x:v>
      </x:c>
      <x:c r="BB9" t="str">
        <x:v>No</x:v>
      </x:c>
      <x:c r="BC9" t="str">
        <x:v>No</x:v>
      </x:c>
      <x:c r="BD9" t="str">
        <x:v>No</x:v>
      </x:c>
      <x:c r="BE9" t="str">
        <x:v>No</x:v>
      </x:c>
      <x:c r="BF9" t="str">
        <x:v>No</x:v>
      </x:c>
      <x:c r="BG9" t="str">
        <x:v>No</x:v>
      </x:c>
      <x:c r="BH9" t="str">
        <x:v>Unresolved</x:v>
      </x:c>
      <x:c r="BI9" t="str">
        <x:v>Not Found After Verification</x:v>
      </x:c>
      <x:c r="BJ9" t="str">
        <x:v>Not Found After Verification</x:v>
      </x:c>
      <x:c r="BK9" t="str">
        <x:v>Audit logged - deep extraction pending</x:v>
      </x:c>
      <x:c r="BL9" t="str">
        <x:v>false</x:v>
      </x:c>
      <x:c r="BM9"/>
      <x:c r="BN9" t="str">
        <x:v>研究问题：复杂操作把任务理解、感知和控制混在一起，难以稳定学习。；之前方法的问题：开环概念提示不能根据新观测及时修正动作。；核心思路：AutoCGP 建立闭环、概念引导的模仿学习策略，让概念状态参与长任务决策。；主要结果：已核验摘要未给可安全复述的统一量化结果。；为什么重要：提示可以把可解释概念放在 VLA 与底层控制之间。；与当前项目的关系：Medium：有助于设计双臂任务状态检查。；主要局限：需核验概念误判和真机长任务失败案例。</x:v>
      </x:c>
      <x:c r="BO9" t="str">
        <x:v>开环概念提示不能根据新观测及时修正动作。</x:v>
      </x:c>
      <x:c r="BP9" t="str">
        <x:v>AutoCGP 建立闭环、概念引导的模仿学习策略，让概念状态参与长任务决策。</x:v>
      </x:c>
      <x:c r="BQ9"/>
      <x:c r="BR9" t="str">
        <x:v>已核验摘要未给可安全复述的统一量化结果。</x:v>
      </x:c>
      <x:c r="BS9" t="str">
        <x:v>提示可以把可解释概念放在 VLA 与底层控制之间。</x:v>
      </x:c>
      <x:c r="BT9" t="str">
        <x:v>需核验概念误判和真机长任务失败案例。</x:v>
      </x:c>
      <x:c r="BU9"/>
      <x:c r="BV9" t="str">
        <x:v>Medium：有助于设计双臂任务状态检查。</x:v>
      </x:c>
      <x:c r="BW9" t="str">
        <x:v>官方摘要/论文页; https://proceedings.iclr.cc/paper_files/paper/2025/hash/6eed1e1d5ed52deee53234786998245e-Abstract-Conference.html; 核验于 2026-09-23. 仅为摘要级速读；原 Evidence Quality 不变。 - 核验层级：摘要有可追溯来源</x:v>
      </x:c>
      <x:c r="BX9" t="str">
        <x:v>Unresolved; no reliable citation service count</x:v>
      </x:c>
      <x:c r="BY9" t="n">
        <x:v>0</x:v>
      </x:c>
      <x:c r="BZ9" t="n">
        <x:v>0</x:v>
      </x:c>
    </x:row>
    <x:row r="10" ht="58" customHeight="1">
      <x:c r="A10" t="str">
        <x:v>D009</x:v>
      </x:c>
      <x:c r="B10" t="str">
        <x:v>AdaManip: Adaptive Articulated Object Manipulation Environments and Policy Learning</x:v>
      </x:c>
      <x:c r="C10" t="n">
        <x:v>2025</x:v>
      </x:c>
      <x:c r="D10" t="str">
        <x:v>Dataset / Benchmark</x:v>
      </x:c>
      <x:c r="E10" t="str">
        <x:v>ICLR</x:v>
      </x:c>
      <x:c r="F10" t="str">
        <x:v>ICLR 2025 Conference</x:v>
      </x:c>
      <x:c r="G10" t="str">
        <x:v>A (CCF 7th edition; venue category not independently extracted from official PDF)</x:v>
      </x:c>
      <x:c r="H10" t="str">
        <x:v>Robot Manipulation / IL / Diffusion; Dataset / Benchmark</x:v>
      </x:c>
      <x:c r="I10" t="str">
        <x:v>Articulated Objects / Benchmark</x:v>
      </x:c>
      <x:c r="J10" t="str">
        <x:v>Robot Manipulation; Articulated Objects / Benchmark</x:v>
      </x:c>
      <x:c r="K10" t="e">
        <x:f>HYPERLINK("https://proceedings.iclr.cc/paper_files/paper/2025/hash/9cd0c57170f48520749d5ae62838241f-Abstract-Conference.html","论文")</x:f>
        <x:v>HYPERLINK is not implemented. linkLocation=https://proceedings.iclr.cc/paper_files/paper/2025/hash/9cd0c57170f48520749d5ae62838241f-Abstract-Conference.html, friendlyName=论文</x:v>
      </x:c>
      <x:c r="L10"/>
      <x:c r="M10"/>
      <x:c r="N10"/>
      <x:c r="O10" t="str">
        <x:v>Unknown</x:v>
      </x:c>
      <x:c r="P10" t="str">
        <x:v>Unknown</x:v>
      </x:c>
      <x:c r="Q10"/>
      <x:c r="R10" t="str">
        <x:v>Unknown</x:v>
      </x:c>
      <x:c r="S10" t="str">
        <x:v>Single Arm / Parallel Gripper</x:v>
      </x:c>
      <x:c r="T10" t="str">
        <x:v>ICLR Proceedings</x:v>
      </x:c>
      <x:c r="U10" t="str">
        <x:v>P1</x:v>
      </x:c>
      <x:c r="V10"/>
      <x:c r="W10" t="str">
        <x:v>Official Verified</x:v>
      </x:c>
      <x:c r="X10" t="str">
        <x:v>2026-09-18</x:v>
      </x:c>
      <x:c r="Y10" t="str">
        <x:v>Benchmark / Dataset</x:v>
      </x:c>
      <x:c r="Z10" t="str">
        <x:v>02_Papers/10_Benchmark_Dataset/AdaManip.md</x:v>
      </x:c>
      <x:c r="AA10" t="str">
        <x:v>—</x:v>
      </x:c>
      <x:c r="AB10" t="str">
        <x:v>未可靠匹配</x:v>
      </x:c>
      <x:c r="AC10" t="str">
        <x:v>2026-09-25</x:v>
      </x:c>
      <x:c r="AD10" t="str">
        <x:v>机器人需要操作具有多部件、关节及隐藏约束的铰接物体。</x:v>
      </x:c>
      <x:c r="AE10" t="str">
        <x:v>Unknown / Needs Full-Paper Verification</x:v>
      </x:c>
      <x:c r="AF10" t="str">
        <x:v>Unknown / Needs Full-Paper Verification</x:v>
      </x:c>
      <x:c r="AG10" t="str">
        <x:v>AdaManip 铰接物体仿真环境与数据集；规模需按全文核验。</x:v>
      </x:c>
      <x:c r="AH10" t="str">
        <x:v>Unknown / Needs Full-Paper Verification</x:v>
      </x:c>
      <x:c r="AI10" t="str">
        <x:v>Unknown / Needs Full-Paper Verification</x:v>
      </x:c>
      <x:c r="AJ10" t="str">
        <x:v>Unknown / Needs Full-Paper Verification</x:v>
      </x:c>
      <x:c r="AK10" t="str">
        <x:v>已核验摘要说明新环境与数据集；本轮不复述未经表格核实的成功率。</x:v>
      </x:c>
      <x:c r="AL10" t="str">
        <x:v>Unknown / Needs Full-Paper Verification</x:v>
      </x:c>
      <x:c r="AM10" t="str">
        <x:v>Library Analysis / Research Note: Unknown / Needs Full-Paper Verification</x:v>
      </x:c>
      <x:c r="AN10" t="str">
        <x:v>Unknown / Needs Project-Specific Review</x:v>
      </x:c>
      <x:c r="AO10" t="str">
        <x:v>Unknown</x:v>
      </x:c>
      <x:c r="AP10" t="str">
        <x:v>B</x:v>
      </x:c>
      <x:c r="AQ10"/>
      <x:c r="AR10" t="str">
        <x:v>Unknown / Not Explicitly Reported in the currently accessible sources.</x:v>
      </x:c>
      <x:c r="AS10" t="str">
        <x:v>Unknown / Not Explicitly Reported in the currently accessible sources.</x:v>
      </x:c>
      <x:c r="AT10" t="str">
        <x:v>—</x:v>
      </x:c>
      <x:c r="AU10" t="str">
        <x:v>Unknown</x:v>
      </x:c>
      <x:c r="AV10" t="str">
        <x:v>B-Fulltext-Unavailable</x:v>
      </x:c>
      <x:c r="AW10" t="str">
        <x:v>Not Found</x:v>
      </x:c>
      <x:c r="AX10" t="str">
        <x:v>Unknown</x:v>
      </x:c>
      <x:c r="AY10" t="str">
        <x:v>Unknown</x:v>
      </x:c>
      <x:c r="AZ10" t="str">
        <x:v>https://proceedings.iclr.cc/paper_files/paper/2025/file/9cd0c57170f48520749d5ae62838241f-Paper-Conference.pdf</x:v>
      </x:c>
      <x:c r="BA10" t="str">
        <x:v>No</x:v>
      </x:c>
      <x:c r="BB10" t="str">
        <x:v>No</x:v>
      </x:c>
      <x:c r="BC10" t="str">
        <x:v>No</x:v>
      </x:c>
      <x:c r="BD10" t="str">
        <x:v>No</x:v>
      </x:c>
      <x:c r="BE10" t="str">
        <x:v>No</x:v>
      </x:c>
      <x:c r="BF10" t="str">
        <x:v>No</x:v>
      </x:c>
      <x:c r="BG10" t="str">
        <x:v>No</x:v>
      </x:c>
      <x:c r="BH10" t="str">
        <x:v>Unresolved</x:v>
      </x:c>
      <x:c r="BI10" t="str">
        <x:v>Not Found After Verification</x:v>
      </x:c>
      <x:c r="BJ10" t="str">
        <x:v>Not Found After Verification</x:v>
      </x:c>
      <x:c r="BK10" t="str">
        <x:v>Audit logged - deep extraction pending</x:v>
      </x:c>
      <x:c r="BL10" t="str">
        <x:v>false</x:v>
      </x:c>
      <x:c r="BM10"/>
      <x:c r="BN10" t="str">
        <x:v>研究问题：机器人需要操作具有多部件、关节及隐藏约束的铰接物体。；之前方法的问题：以往数据集多关注从外观即可推断完整步骤的简单机构，对先解锁再开启的自适应机制覆盖不足。；核心思路：AdaManip 建立包含自适应机制的铰接物体环境与数据集，并研究相应策略学习；保险箱门先解锁再打开是论文中的例子。；数据集与评测基准：AdaManip 铰接物体仿真环境与数据集；规模需按全文核验。；主要结果：已核验摘要说明新环境与数据集；本轮不复述未经表格核实的成功率。；为什么重要：顺序依赖和隐藏状态对长程操作与失败恢复有参考价值。；与当前项目的关系：Medium：可借鉴机制约束任务设计；与本项目双臂普通夹爪平台的迁移需另测。；主要局限：摘要层级尚不能确认不同机制的泛化边界与真实机器人表现。</x:v>
      </x:c>
      <x:c r="BO10" t="str">
        <x:v>以往数据集多关注从外观即可推断完整步骤的简单机构，对先解锁再开启的自适应机制覆盖不足。</x:v>
      </x:c>
      <x:c r="BP10" t="str">
        <x:v>AdaManip 建立包含自适应机制的铰接物体环境与数据集，并研究相应策略学习；保险箱门先解锁再打开是论文中的例子。</x:v>
      </x:c>
      <x:c r="BQ10"/>
      <x:c r="BR10" t="str">
        <x:v>已核验摘要说明新环境与数据集；本轮不复述未经表格核实的成功率。</x:v>
      </x:c>
      <x:c r="BS10" t="str">
        <x:v>顺序依赖和隐藏状态对长程操作与失败恢复有参考价值。</x:v>
      </x:c>
      <x:c r="BT10" t="str">
        <x:v>摘要层级尚不能确认不同机制的泛化边界与真实机器人表现。</x:v>
      </x:c>
      <x:c r="BU10"/>
      <x:c r="BV10" t="str">
        <x:v>Medium：可借鉴机制约束任务设计；与本项目双臂普通夹爪平台的迁移需另测。</x:v>
      </x:c>
      <x:c r="BW10" t="str">
        <x:v>官方摘要/论文页; https://proceedings.iclr.cc/paper_files/paper/2025/hash/9cd0c57170f48520749d5ae62838241f-Abstract-Conference.html; 核验于 2026-09-23. 仅为摘要级速读；原 Evidence Quality 不变。 - 核验层级：摘要有可追溯来源</x:v>
      </x:c>
      <x:c r="BX10" t="str">
        <x:v>Unresolved; no reliable citation service count</x:v>
      </x:c>
      <x:c r="BY10" t="n">
        <x:v>0</x:v>
      </x:c>
      <x:c r="BZ10" t="n">
        <x:v>0</x:v>
      </x:c>
    </x:row>
    <x:row r="11" ht="58" customHeight="1">
      <x:c r="A11" t="str">
        <x:v>D010</x:v>
      </x:c>
      <x:c r="B11" t="str">
        <x:v>HAMSTER: Hierarchical Action Models for Open-World Robot Manipulation</x:v>
      </x:c>
      <x:c r="C11" t="n">
        <x:v>2025</x:v>
      </x:c>
      <x:c r="D11" t="str">
        <x:v>Method Paper</x:v>
      </x:c>
      <x:c r="E11" t="str">
        <x:v>ICLR</x:v>
      </x:c>
      <x:c r="F11" t="str">
        <x:v>ICLR 2025 Conference</x:v>
      </x:c>
      <x:c r="G11" t="str">
        <x:v>A (CCF 7th edition; venue category not independently extracted from official PDF)</x:v>
      </x:c>
      <x:c r="H11" t="str">
        <x:v>VLA / Robot Foundation Models; Robot Manipulation / IL / Diffusion</x:v>
      </x:c>
      <x:c r="I11" t="str">
        <x:v>Hierarchical VLA / Generalization</x:v>
      </x:c>
      <x:c r="J11" t="str">
        <x:v>hierarchical VLA; generalization; 3D policy</x:v>
      </x:c>
      <x:c r="K11" t="e">
        <x:f>HYPERLINK("https://proceedings.iclr.cc/paper_files/paper/2025/hash/3bfee3bc6639c36e6e7b058db909f760-Abstract-Conference.html","论文")</x:f>
        <x:v>HYPERLINK is not implemented. linkLocation=https://proceedings.iclr.cc/paper_files/paper/2025/hash/3bfee3bc6639c36e6e7b058db909f760-Abstract-Conference.html, friendlyName=论文</x:v>
      </x:c>
      <x:c r="L11"/>
      <x:c r="M11" t="e">
        <x:f>HYPERLINK("https://hamster-robot.github.io/","Project")</x:f>
        <x:v>HYPERLINK is not implemented. linkLocation=https://hamster-robot.github.io/, friendlyName=Project</x:v>
      </x:c>
      <x:c r="N11"/>
      <x:c r="O11" t="str">
        <x:v>Unknown</x:v>
      </x:c>
      <x:c r="P11" t="str">
        <x:v>Unknown</x:v>
      </x:c>
      <x:c r="Q11"/>
      <x:c r="R11" t="str">
        <x:v>Yes</x:v>
      </x:c>
      <x:c r="S11" t="str">
        <x:v>Single Arm / Parallel Gripper</x:v>
      </x:c>
      <x:c r="T11" t="str">
        <x:v>ICLR Proceedings</x:v>
      </x:c>
      <x:c r="U11" t="str">
        <x:v>P0</x:v>
      </x:c>
      <x:c r="V11" t="str">
        <x:v>Abstract reports real robot experiments and multiple axes of generalization.</x:v>
      </x:c>
      <x:c r="W11" t="str">
        <x:v>Official Verified</x:v>
      </x:c>
      <x:c r="X11" t="str">
        <x:v>2026-09-18</x:v>
      </x:c>
      <x:c r="Y11" t="str">
        <x:v>Generalization / Long-Horizon</x:v>
      </x:c>
      <x:c r="Z11" t="str">
        <x:v>02_Papers/07_Generalization_LongHorizon/HAMSTER.md</x:v>
      </x:c>
      <x:c r="AA11" t="n">
        <x:v>1</x:v>
      </x:c>
      <x:c r="AB11" t="str">
        <x:v>OpenAlex</x:v>
      </x:c>
      <x:c r="AC11" t="str">
        <x:v>2026-09-25</x:v>
      </x:c>
      <x:c r="AD11" t="str">
        <x:v>开放世界操作需要利用基础模型知识，但机器人动作数据昂贵。</x:v>
      </x:c>
      <x:c r="AE11" t="str">
        <x:v>Unknown / Needs Full-Paper Verification</x:v>
      </x:c>
      <x:c r="AF11" t="str">
        <x:v>Unknown / Needs Full-Paper Verification</x:v>
      </x:c>
      <x:c r="AG11" t="str">
        <x:v>已核验摘要未明确说明；需查阅论文方法与实验章节。</x:v>
      </x:c>
      <x:c r="AH11" t="str">
        <x:v>Unknown / Needs Full-Paper Verification</x:v>
      </x:c>
      <x:c r="AI11" t="str">
        <x:v>Unknown / Needs Full-Paper Verification</x:v>
      </x:c>
      <x:c r="AJ11" t="str">
        <x:v>Unknown / Needs Full-Paper Verification</x:v>
      </x:c>
      <x:c r="AK11" t="str">
        <x:v>论文摘要报告该分层设计改善任务执行；统一数字需查实验表。</x:v>
      </x:c>
      <x:c r="AL11" t="str">
        <x:v>Unknown / Needs Full-Paper Verification</x:v>
      </x:c>
      <x:c r="AM11" t="str">
        <x:v>Library Analysis / Research Note: Unknown / Needs Full-Paper Verification</x:v>
      </x:c>
      <x:c r="AN11" t="str">
        <x:v>Unknown / Needs Project-Specific Review</x:v>
      </x:c>
      <x:c r="AO11" t="str">
        <x:v>Unknown</x:v>
      </x:c>
      <x:c r="AP11" t="str">
        <x:v>B</x:v>
      </x:c>
      <x:c r="AQ11"/>
      <x:c r="AR11" t="str">
        <x:v>Unknown / Not Explicitly Reported in the currently accessible sources.</x:v>
      </x:c>
      <x:c r="AS11" t="str">
        <x:v>Unknown / Not Explicitly Reported in the currently accessible sources.</x:v>
      </x:c>
      <x:c r="AT11" t="str">
        <x:v>https://openalex.org/W4407384835</x:v>
      </x:c>
      <x:c r="AU11" t="str">
        <x:v>Unknown</x:v>
      </x:c>
      <x:c r="AV11" t="str">
        <x:v>B-Fulltext-Unavailable</x:v>
      </x:c>
      <x:c r="AW11" t="str">
        <x:v>Not Found</x:v>
      </x:c>
      <x:c r="AX11" t="str">
        <x:v>Unknown</x:v>
      </x:c>
      <x:c r="AY11" t="str">
        <x:v>Unknown</x:v>
      </x:c>
      <x:c r="AZ11" t="str">
        <x:v>https://proceedings.iclr.cc/paper_files/paper/2025/file/3bfee3bc6639c36e6e7b058db909f760-Paper-Conference.pdf</x:v>
      </x:c>
      <x:c r="BA11" t="str">
        <x:v>No</x:v>
      </x:c>
      <x:c r="BB11" t="str">
        <x:v>No</x:v>
      </x:c>
      <x:c r="BC11" t="str">
        <x:v>No</x:v>
      </x:c>
      <x:c r="BD11" t="str">
        <x:v>No</x:v>
      </x:c>
      <x:c r="BE11" t="str">
        <x:v>No</x:v>
      </x:c>
      <x:c r="BF11" t="str">
        <x:v>No</x:v>
      </x:c>
      <x:c r="BG11" t="str">
        <x:v>No</x:v>
      </x:c>
      <x:c r="BH11" t="str">
        <x:v>Matched</x:v>
      </x:c>
      <x:c r="BI11" t="str">
        <x:v>Not Found After Verification</x:v>
      </x:c>
      <x:c r="BJ11" t="str">
        <x:v>Not Found After Verification</x:v>
      </x:c>
      <x:c r="BK11" t="str">
        <x:v>Audit logged - deep extraction pending</x:v>
      </x:c>
      <x:c r="BL11" t="str">
        <x:v>false</x:v>
      </x:c>
      <x:c r="BM11"/>
      <x:c r="BN11" t="str">
        <x:v>研究问题：开放世界操作需要利用基础模型知识，但机器人动作数据昂贵。；之前方法的问题：高层 VLM 不适合直接生成精细控制，低层策略又缺少广泛语义知识。；核心思路：HAMSTER 将高层任务理解与低层动作控制分工，降低双方负担。；主要结果：论文摘要报告该分层设计改善任务执行；统一数字需查实验表。；为什么重要：是比较分层规划和端到端 VLA 的阅读入口。；与当前项目的关系：High：双臂普通夹爪可能需要高层分工和低层安全控制。；主要局限：高低层接口不一致会造成目标误解或执行失败。</x:v>
      </x:c>
      <x:c r="BO11" t="str">
        <x:v>高层 VLM 不适合直接生成精细控制，低层策略又缺少广泛语义知识。</x:v>
      </x:c>
      <x:c r="BP11" t="str">
        <x:v>HAMSTER 将高层任务理解与低层动作控制分工，降低双方负担。</x:v>
      </x:c>
      <x:c r="BQ11"/>
      <x:c r="BR11" t="str">
        <x:v>论文摘要报告该分层设计改善任务执行；统一数字需查实验表。</x:v>
      </x:c>
      <x:c r="BS11" t="str">
        <x:v>是比较分层规划和端到端 VLA 的阅读入口。</x:v>
      </x:c>
      <x:c r="BT11" t="str">
        <x:v>高低层接口不一致会造成目标误解或执行失败。</x:v>
      </x:c>
      <x:c r="BU11"/>
      <x:c r="BV11" t="str">
        <x:v>High：双臂普通夹爪可能需要高层分工和低层安全控制。</x:v>
      </x:c>
      <x:c r="BW11" t="str">
        <x:v>官方摘要/论文页; https://proceedings.iclr.cc/paper_files/paper/2025/hash/3bfee3bc6639c36e6e7b058db909f760-Abstract-Conference.html; 核验于 2026-09-23. 仅为摘要级速读；原 Evidence Quality 不变。 - 核验层级：摘要有可追溯来源</x:v>
      </x:c>
      <x:c r="BX11" t="str">
        <x:v>final-title</x:v>
      </x:c>
      <x:c r="BY11" t="n">
        <x:v>0</x:v>
      </x:c>
      <x:c r="BZ11" t="n">
        <x:v>4</x:v>
      </x:c>
    </x:row>
    <x:row r="12" ht="58" customHeight="1">
      <x:c r="A12" t="str">
        <x:v>D011</x:v>
      </x:c>
      <x:c r="B12" t="str">
        <x:v>ET-SEED: Efficient Trajectory-Level SE(3) Equivariant Diffusion Policy</x:v>
      </x:c>
      <x:c r="C12" t="n">
        <x:v>2025</x:v>
      </x:c>
      <x:c r="D12" t="str">
        <x:v>Method Paper</x:v>
      </x:c>
      <x:c r="E12" t="str">
        <x:v>ICLR</x:v>
      </x:c>
      <x:c r="F12" t="str">
        <x:v>ICLR 2025 Conference</x:v>
      </x:c>
      <x:c r="G12" t="str">
        <x:v>A (CCF 7th edition; venue category not independently extracted from official PDF)</x:v>
      </x:c>
      <x:c r="H12" t="str">
        <x:v>Robot Manipulation / IL / Diffusion</x:v>
      </x:c>
      <x:c r="I12" t="str">
        <x:v>Equivariant Diffusion / Data Efficiency</x:v>
      </x:c>
      <x:c r="J12" t="str">
        <x:v>Robot Manipulation; Equivariant Diffusion / Data Efficiency</x:v>
      </x:c>
      <x:c r="K12" t="e">
        <x:f>HYPERLINK("https://proceedings.iclr.cc/paper_files/paper/2025/hash/969a11f489c59c50c2cfe8c407c68a9b-Abstract-Conference.html","论文")</x:f>
        <x:v>HYPERLINK is not implemented. linkLocation=https://proceedings.iclr.cc/paper_files/paper/2025/hash/969a11f489c59c50c2cfe8c407c68a9b-Abstract-Conference.html, friendlyName=论文</x:v>
      </x:c>
      <x:c r="L12"/>
      <x:c r="M12" t="e">
        <x:f>HYPERLINK("https://et-seed.github.io/","Project")</x:f>
        <x:v>HYPERLINK is not implemented. linkLocation=https://et-seed.github.io/, friendlyName=Project</x:v>
      </x:c>
      <x:c r="N12"/>
      <x:c r="O12" t="str">
        <x:v>Unknown</x:v>
      </x:c>
      <x:c r="P12" t="str">
        <x:v>Unknown</x:v>
      </x:c>
      <x:c r="Q12"/>
      <x:c r="R12" t="str">
        <x:v>Unknown</x:v>
      </x:c>
      <x:c r="S12" t="str">
        <x:v>Single Arm / Parallel Gripper</x:v>
      </x:c>
      <x:c r="T12" t="str">
        <x:v>ICLR Proceedings</x:v>
      </x:c>
      <x:c r="U12" t="str">
        <x:v>P1</x:v>
      </x:c>
      <x:c r="V12" t="str">
        <x:v>Focuses on demonstration efficiency and generalization to unseen configurations.</x:v>
      </x:c>
      <x:c r="W12" t="str">
        <x:v>Official Verified</x:v>
      </x:c>
      <x:c r="X12" t="str">
        <x:v>2026-09-18</x:v>
      </x:c>
      <x:c r="Y12" t="str">
        <x:v>Diffusion / Flow / IL / RL</x:v>
      </x:c>
      <x:c r="Z12" t="str">
        <x:v>02_Papers/06_Diffusion_Flow_IL_RL/ET-SEED.md</x:v>
      </x:c>
      <x:c r="AA12" t="n">
        <x:v>1</x:v>
      </x:c>
      <x:c r="AB12" t="str">
        <x:v>OpenAlex</x:v>
      </x:c>
      <x:c r="AC12" t="str">
        <x:v>2026-09-25</x:v>
      </x:c>
      <x:c r="AD12" t="str">
        <x:v>机器人模仿学习通常需要大量专家示范。</x:v>
      </x:c>
      <x:c r="AE12" t="str">
        <x:v>Unknown / Needs Full-Paper Verification</x:v>
      </x:c>
      <x:c r="AF12" t="str">
        <x:v>Unknown / Needs Full-Paper Verification</x:v>
      </x:c>
      <x:c r="AG12" t="str">
        <x:v>已核验摘要未明确说明；需查阅论文方法与实验章节。</x:v>
      </x:c>
      <x:c r="AH12" t="str">
        <x:v>Unknown / Needs Full-Paper Verification</x:v>
      </x:c>
      <x:c r="AI12" t="str">
        <x:v>Unknown / Needs Full-Paper Verification</x:v>
      </x:c>
      <x:c r="AJ12" t="str">
        <x:v>Unknown / Needs Full-Paper Verification</x:v>
      </x:c>
      <x:c r="AK12" t="str">
        <x:v>当前摘要来源没有足以安全复述的统一量化结果。</x:v>
      </x:c>
      <x:c r="AL12" t="str">
        <x:v>Unknown / Needs Full-Paper Verification</x:v>
      </x:c>
      <x:c r="AM12" t="str">
        <x:v>Library Analysis / Research Note: Unknown / Needs Full-Paper Verification</x:v>
      </x:c>
      <x:c r="AN12" t="str">
        <x:v>Unknown / Needs Project-Specific Review</x:v>
      </x:c>
      <x:c r="AO12" t="str">
        <x:v>Unknown</x:v>
      </x:c>
      <x:c r="AP12" t="str">
        <x:v>B</x:v>
      </x:c>
      <x:c r="AQ12"/>
      <x:c r="AR12" t="str">
        <x:v>Unknown / Not Explicitly Reported in the currently accessible sources.</x:v>
      </x:c>
      <x:c r="AS12" t="str">
        <x:v>Unknown / Not Explicitly Reported in the currently accessible sources.</x:v>
      </x:c>
      <x:c r="AT12" t="str">
        <x:v>https://openalex.org/W4404371741</x:v>
      </x:c>
      <x:c r="AU12" t="str">
        <x:v>Unknown</x:v>
      </x:c>
      <x:c r="AV12" t="str">
        <x:v>B-Fulltext-Unavailable</x:v>
      </x:c>
      <x:c r="AW12" t="str">
        <x:v>Not Found</x:v>
      </x:c>
      <x:c r="AX12" t="str">
        <x:v>Unknown</x:v>
      </x:c>
      <x:c r="AY12" t="str">
        <x:v>Unknown</x:v>
      </x:c>
      <x:c r="AZ12" t="str">
        <x:v>https://proceedings.iclr.cc/paper_files/paper/2025/file/969a11f489c59c50c2cfe8c407c68a9b-Paper-Conference.pdf</x:v>
      </x:c>
      <x:c r="BA12" t="str">
        <x:v>No</x:v>
      </x:c>
      <x:c r="BB12" t="str">
        <x:v>No</x:v>
      </x:c>
      <x:c r="BC12" t="str">
        <x:v>No</x:v>
      </x:c>
      <x:c r="BD12" t="str">
        <x:v>No</x:v>
      </x:c>
      <x:c r="BE12" t="str">
        <x:v>No</x:v>
      </x:c>
      <x:c r="BF12" t="str">
        <x:v>No</x:v>
      </x:c>
      <x:c r="BG12" t="str">
        <x:v>No</x:v>
      </x:c>
      <x:c r="BH12" t="str">
        <x:v>Matched</x:v>
      </x:c>
      <x:c r="BI12" t="str">
        <x:v>Not Found After Verification</x:v>
      </x:c>
      <x:c r="BJ12" t="str">
        <x:v>Not Found After Verification</x:v>
      </x:c>
      <x:c r="BK12" t="str">
        <x:v>Audit logged - deep extraction pending</x:v>
      </x:c>
      <x:c r="BL12" t="str">
        <x:v>false</x:v>
      </x:c>
      <x:c r="BM12"/>
      <x:c r="BN12" t="str">
        <x:v>研究问题：机器人模仿学习通常需要大量专家示范。；之前方法的问题：如果没有适合的空间表示，少量示范难以支持稳定动作生成。；核心思路：ET-SEED 研究带空间结构的扩散式操作策略；具体模块与输入输出需核验官方正文，不能只凭项目页推断。；主要结果：当前摘要来源没有足以安全复述的统一量化结果。；与当前项目的关系：Medium：与低示范双臂操作相关，但证据细节仍待查。；主要局限：原卡方法字段混入项目网址，需优先重新阅读正式方法章节。</x:v>
      </x:c>
      <x:c r="BO12" t="str">
        <x:v>如果没有适合的空间表示，少量示范难以支持稳定动作生成。</x:v>
      </x:c>
      <x:c r="BP12" t="str">
        <x:v>ET-SEED 研究带空间结构的扩散式操作策略；具体模块与输入输出需核验官方正文，不能只凭项目页推断。</x:v>
      </x:c>
      <x:c r="BQ12"/>
      <x:c r="BR12" t="str">
        <x:v>当前摘要来源没有足以安全复述的统一量化结果。</x:v>
      </x:c>
      <x:c r="BS12" t="str">
        <x:v>可作为三维动作表示与数据效率的待核验候选。</x:v>
      </x:c>
      <x:c r="BT12" t="str">
        <x:v>原卡方法字段混入项目网址，需优先重新阅读正式方法章节。</x:v>
      </x:c>
      <x:c r="BU12"/>
      <x:c r="BV12" t="str">
        <x:v>Medium：与低示范双臂操作相关，但证据细节仍待查。</x:v>
      </x:c>
      <x:c r="BW12" t="str">
        <x:v>官方摘要/论文页; https://proceedings.iclr.cc/paper_files/paper/2025/hash/969a11f489c59c50c2cfe8c407c68a9b-Abstract-Conference.html; 核验于 2026-09-23. 仅为摘要级速读；原 Evidence Quality 不变。 - 核验层级：摘要有可追溯来源</x:v>
      </x:c>
      <x:c r="BX12" t="str">
        <x:v>final-title</x:v>
      </x:c>
      <x:c r="BY12" t="n">
        <x:v>0</x:v>
      </x:c>
      <x:c r="BZ12" t="n">
        <x:v>1</x:v>
      </x:c>
    </x:row>
    <x:row r="13" ht="58" customHeight="1">
      <x:c r="A13" t="str">
        <x:v>D012</x:v>
      </x:c>
      <x:c r="B13" t="str">
        <x:v>Bidirectional Decoding: Improving Action Chunking via Guided Test-Time Sampling</x:v>
      </x:c>
      <x:c r="C13" t="n">
        <x:v>2025</x:v>
      </x:c>
      <x:c r="D13" t="str">
        <x:v>Method Paper</x:v>
      </x:c>
      <x:c r="E13" t="str">
        <x:v>ICLR</x:v>
      </x:c>
      <x:c r="F13" t="str">
        <x:v>ICLR 2025 Conference</x:v>
      </x:c>
      <x:c r="G13" t="str">
        <x:v>A (CCF 7th edition; venue category not independently extracted from official PDF)</x:v>
      </x:c>
      <x:c r="H13" t="str">
        <x:v>Robot Manipulation / IL / Diffusion</x:v>
      </x:c>
      <x:c r="I13" t="str">
        <x:v>Action Chunking / Test-Time Sampling</x:v>
      </x:c>
      <x:c r="J13" t="str">
        <x:v>Imitation Learning; Action Chunking / Test-Time Sampling</x:v>
      </x:c>
      <x:c r="K13" t="e">
        <x:f>HYPERLINK("https://proceedings.iclr.cc/paper_files/paper/2025/hash/0d78dd998f7b9ac79604d47a2d79bb0d-Abstract-Conference.html","论文")</x:f>
        <x:v>HYPERLINK is not implemented. linkLocation=https://proceedings.iclr.cc/paper_files/paper/2025/hash/0d78dd998f7b9ac79604d47a2d79bb0d-Abstract-Conference.html, friendlyName=论文</x:v>
      </x:c>
      <x:c r="L13"/>
      <x:c r="M13"/>
      <x:c r="N13" t="e">
        <x:f>HYPERLINK("https://github.com/bid-robot/bid","GitHub")</x:f>
        <x:v>HYPERLINK is not implemented. linkLocation=https://github.com/bid-robot/bid, friendlyName=GitHub</x:v>
      </x:c>
      <x:c r="O13" t="str">
        <x:v>Released</x:v>
      </x:c>
      <x:c r="P13" t="str">
        <x:v>Unknown</x:v>
      </x:c>
      <x:c r="Q13"/>
      <x:c r="R13" t="str">
        <x:v>Mixed</x:v>
      </x:c>
      <x:c r="S13" t="str">
        <x:v>Single Arm / Parallel Gripper</x:v>
      </x:c>
      <x:c r="T13" t="str">
        <x:v>ICLR Proceedings</x:v>
      </x:c>
      <x:c r="U13" t="str">
        <x:v>P0</x:v>
      </x:c>
      <x:c r="V13" t="str">
        <x:v>Abstract reports seven simulation benchmarks and two real-world tasks.</x:v>
      </x:c>
      <x:c r="W13" t="str">
        <x:v>Official Verified</x:v>
      </x:c>
      <x:c r="X13" t="str">
        <x:v>2026-09-18</x:v>
      </x:c>
      <x:c r="Y13" t="str">
        <x:v>Diffusion / Flow / IL / RL</x:v>
      </x:c>
      <x:c r="Z13" t="str">
        <x:v>02_Papers/06_Diffusion_Flow_IL_RL/Bidirectional_Decoding.md</x:v>
      </x:c>
      <x:c r="AA13" t="n">
        <x:v>1</x:v>
      </x:c>
      <x:c r="AB13" t="str">
        <x:v>OpenAlex</x:v>
      </x:c>
      <x:c r="AC13" t="str">
        <x:v>2026-09-25</x:v>
      </x:c>
      <x:c r="AD13" t="str">
        <x:v>Action Chunk 减少推理调用，却可能降低中途修正能力。</x:v>
      </x:c>
      <x:c r="AE13" t="str">
        <x:v>Unknown / Needs Full-Paper Verification</x:v>
      </x:c>
      <x:c r="AF13" t="str">
        <x:v>Unknown / Needs Full-Paper Verification</x:v>
      </x:c>
      <x:c r="AG13" t="str">
        <x:v>已核验摘要未明确说明；需查阅论文方法与实验章节。</x:v>
      </x:c>
      <x:c r="AH13" t="str">
        <x:v>Unknown / Needs Full-Paper Verification</x:v>
      </x:c>
      <x:c r="AI13" t="str">
        <x:v>Unknown / Needs Full-Paper Verification</x:v>
      </x:c>
      <x:c r="AJ13" t="str">
        <x:v>Unknown / Needs Full-Paper Verification</x:v>
      </x:c>
      <x:c r="AK13" t="str">
        <x:v>作者报告在七项仿真任务上提升两类生成式策略表现；详细数值见论文。</x:v>
      </x:c>
      <x:c r="AL13" t="str">
        <x:v>Unknown / Needs Full-Paper Verification</x:v>
      </x:c>
      <x:c r="AM13" t="str">
        <x:v>Library Analysis / Research Note: Unknown / Needs Full-Paper Verification</x:v>
      </x:c>
      <x:c r="AN13" t="str">
        <x:v>Unknown / Needs Project-Specific Review</x:v>
      </x:c>
      <x:c r="AO13" t="str">
        <x:v>Unknown</x:v>
      </x:c>
      <x:c r="AP13" t="str">
        <x:v>B</x:v>
      </x:c>
      <x:c r="AQ13"/>
      <x:c r="AR13" t="str">
        <x:v>Unknown / Not Explicitly Reported in the currently accessible sources.</x:v>
      </x:c>
      <x:c r="AS13" t="str">
        <x:v>Unknown / Not Explicitly Reported in the currently accessible sources.</x:v>
      </x:c>
      <x:c r="AT13" t="str">
        <x:v>https://openalex.org/W4403525052</x:v>
      </x:c>
      <x:c r="AU13" t="str">
        <x:v>Unknown</x:v>
      </x:c>
      <x:c r="AV13" t="str">
        <x:v>B-Fulltext-Unavailable</x:v>
      </x:c>
      <x:c r="AW13" t="str">
        <x:v>Not Found</x:v>
      </x:c>
      <x:c r="AX13" t="str">
        <x:v>Mostly Complete</x:v>
      </x:c>
      <x:c r="AY13" t="str">
        <x:v>Unknown</x:v>
      </x:c>
      <x:c r="AZ13" t="str">
        <x:v>https://proceedings.iclr.cc/paper_files/paper/2025/file/0d78dd998f7b9ac79604d47a2d79bb0d-Paper-Conference.pdf</x:v>
      </x:c>
      <x:c r="BA13" t="str">
        <x:v>No</x:v>
      </x:c>
      <x:c r="BB13" t="str">
        <x:v>No</x:v>
      </x:c>
      <x:c r="BC13" t="str">
        <x:v>No</x:v>
      </x:c>
      <x:c r="BD13" t="str">
        <x:v>No</x:v>
      </x:c>
      <x:c r="BE13" t="str">
        <x:v>No</x:v>
      </x:c>
      <x:c r="BF13" t="str">
        <x:v>No</x:v>
      </x:c>
      <x:c r="BG13" t="str">
        <x:v>No</x:v>
      </x:c>
      <x:c r="BH13" t="str">
        <x:v>Matched</x:v>
      </x:c>
      <x:c r="BI13" t="str">
        <x:v>Not Found After Verification</x:v>
      </x:c>
      <x:c r="BJ13" t="str">
        <x:v>Not Found After Verification</x:v>
      </x:c>
      <x:c r="BK13" t="str">
        <x:v>Audit logged - deep extraction pending</x:v>
      </x:c>
      <x:c r="BL13" t="str">
        <x:v>false</x:v>
      </x:c>
      <x:c r="BM13"/>
      <x:c r="BN13" t="str">
        <x:v>研究问题：Action Chunk 减少推理调用，却可能降低中途修正能力。；之前方法的问题：固定动作块开环执行与每步重新规划之间存在速度—反应性权衡。；核心思路：Bidirectional Decoding 在测试时调整生成式策略的动作解码，连接动作块与在线反馈。；主要结果：作者报告在七项仿真任务上提升两类生成式策略表现；详细数值见论文。；为什么重要：可用来设计低延迟但可中途纠正的双臂控制。；与当前项目的关系：High：真机操作需要在动作块速度和失败恢复之间折中。；主要局限：测试时解码的额外延迟和真机接触效果需核验。</x:v>
      </x:c>
      <x:c r="BO13" t="str">
        <x:v>固定动作块开环执行与每步重新规划之间存在速度—反应性权衡。</x:v>
      </x:c>
      <x:c r="BP13" t="str">
        <x:v>Bidirectional Decoding 在测试时调整生成式策略的动作解码，连接动作块与在线反馈。</x:v>
      </x:c>
      <x:c r="BQ13"/>
      <x:c r="BR13" t="str">
        <x:v>作者报告在七项仿真任务上提升两类生成式策略表现；详细数值见论文。</x:v>
      </x:c>
      <x:c r="BS13" t="str">
        <x:v>可用来设计低延迟但可中途纠正的双臂控制。</x:v>
      </x:c>
      <x:c r="BT13" t="str">
        <x:v>测试时解码的额外延迟和真机接触效果需核验。</x:v>
      </x:c>
      <x:c r="BU13"/>
      <x:c r="BV13" t="str">
        <x:v>High：真机操作需要在动作块速度和失败恢复之间折中。</x:v>
      </x:c>
      <x:c r="BW13" t="str">
        <x:v>官方摘要/论文页; https://proceedings.iclr.cc/paper_files/paper/2025/hash/0d78dd998f7b9ac79604d47a2d79bb0d-Abstract-Conference.html; 核验于 2026-09-23. 仅为摘要级速读；原 Evidence Quality 不变。 - 核验层级：摘要有可追溯来源</x:v>
      </x:c>
      <x:c r="BX13" t="str">
        <x:v>final-pdf-author</x:v>
      </x:c>
      <x:c r="BY13" t="n">
        <x:v>0</x:v>
      </x:c>
      <x:c r="BZ13" t="n">
        <x:v>0</x:v>
      </x:c>
    </x:row>
    <x:row r="14" ht="58" customHeight="1">
      <x:c r="A14" t="str">
        <x:v>D013</x:v>
      </x:c>
      <x:c r="B14" t="str">
        <x:v>Policy Decorator: Model-Agnostic Online Refinement for Large Policy Models</x:v>
      </x:c>
      <x:c r="C14" t="n">
        <x:v>2025</x:v>
      </x:c>
      <x:c r="D14" t="str">
        <x:v>Method Paper</x:v>
      </x:c>
      <x:c r="E14" t="str">
        <x:v>ICLR</x:v>
      </x:c>
      <x:c r="F14" t="str">
        <x:v>ICLR 2025 Conference</x:v>
      </x:c>
      <x:c r="G14" t="str">
        <x:v>A (CCF 7th edition; venue category not independently extracted from official PDF)</x:v>
      </x:c>
      <x:c r="H14" t="str">
        <x:v>Robot Manipulation / IL / Diffusion</x:v>
      </x:c>
      <x:c r="I14" t="str">
        <x:v>Policy Refinement / Demonstrations</x:v>
      </x:c>
      <x:c r="J14" t="str">
        <x:v>Robot Manipulation; Policy Refinement / Demonstrations</x:v>
      </x:c>
      <x:c r="K14" t="e">
        <x:f>HYPERLINK("https://proceedings.iclr.cc/paper_files/paper/2025/hash/45c361d4117d598d4bb6568b407e9ac9-Abstract-Conference.html","论文")</x:f>
        <x:v>HYPERLINK is not implemented. linkLocation=https://proceedings.iclr.cc/paper_files/paper/2025/hash/45c361d4117d598d4bb6568b407e9ac9-Abstract-Conference.html, friendlyName=论文</x:v>
      </x:c>
      <x:c r="L14"/>
      <x:c r="M14"/>
      <x:c r="N14"/>
      <x:c r="O14" t="str">
        <x:v>Unknown</x:v>
      </x:c>
      <x:c r="P14" t="str">
        <x:v>Unknown</x:v>
      </x:c>
      <x:c r="Q14"/>
      <x:c r="R14" t="str">
        <x:v>Unknown</x:v>
      </x:c>
      <x:c r="S14" t="str">
        <x:v>Bimanual / Dexterous benchmark tasks</x:v>
      </x:c>
      <x:c r="T14" t="str">
        <x:v>ICLR Proceedings</x:v>
      </x:c>
      <x:c r="U14" t="str">
        <x:v>P1</x:v>
      </x:c>
      <x:c r="V14" t="str">
        <x:v>Uses ManiSkill and Adroit tasks; baselines include Behavior Transformer and Diffusion Policy.</x:v>
      </x:c>
      <x:c r="W14" t="str">
        <x:v>Official Verified</x:v>
      </x:c>
      <x:c r="X14" t="str">
        <x:v>2026-09-18</x:v>
      </x:c>
      <x:c r="Y14" t="str">
        <x:v>Generalization / Long-Horizon</x:v>
      </x:c>
      <x:c r="Z14" t="str">
        <x:v>02_Papers/07_Generalization_LongHorizon/Policy_Decorator.md</x:v>
      </x:c>
      <x:c r="AA14" t="n">
        <x:v>0</x:v>
      </x:c>
      <x:c r="AB14" t="str">
        <x:v>OpenAlex</x:v>
      </x:c>
      <x:c r="AC14" t="str">
        <x:v>2026-09-25</x:v>
      </x:c>
      <x:c r="AD14" t="str">
        <x:v>大型模仿策略在新环境中仍可能出现局部失误。</x:v>
      </x:c>
      <x:c r="AE14" t="str">
        <x:v>Unknown / Needs Full-Paper Verification</x:v>
      </x:c>
      <x:c r="AF14" t="str">
        <x:v>Unknown / Needs Full-Paper Verification</x:v>
      </x:c>
      <x:c r="AG14" t="str">
        <x:v>ManiSkill 与 Adroit，共八项任务。</x:v>
      </x:c>
      <x:c r="AH14" t="str">
        <x:v>Unknown / Needs Full-Paper Verification</x:v>
      </x:c>
      <x:c r="AI14" t="str">
        <x:v>Unknown / Needs Full-Paper Verification</x:v>
      </x:c>
      <x:c r="AJ14" t="str">
        <x:v>Unknown / Needs Full-Paper Verification</x:v>
      </x:c>
      <x:c r="AK14" t="str">
        <x:v>作者报告在两项 benchmark 的八个任务上提升所比较策略；具体幅度需查论文表格。</x:v>
      </x:c>
      <x:c r="AL14" t="str">
        <x:v>Unknown / Needs Full-Paper Verification</x:v>
      </x:c>
      <x:c r="AM14" t="str">
        <x:v>Library Analysis / Research Note: Unknown / Needs Full-Paper Verification</x:v>
      </x:c>
      <x:c r="AN14" t="str">
        <x:v>Unknown / Needs Project-Specific Review</x:v>
      </x:c>
      <x:c r="AO14" t="str">
        <x:v>Unknown</x:v>
      </x:c>
      <x:c r="AP14" t="str">
        <x:v>B</x:v>
      </x:c>
      <x:c r="AQ14"/>
      <x:c r="AR14" t="str">
        <x:v>Unknown / Not Explicitly Reported in the currently accessible sources.</x:v>
      </x:c>
      <x:c r="AS14" t="str">
        <x:v>Unknown / Not Explicitly Reported in the currently accessible sources.</x:v>
      </x:c>
      <x:c r="AT14" t="str">
        <x:v>https://openalex.org/W4405626335</x:v>
      </x:c>
      <x:c r="AU14" t="str">
        <x:v>Unknown</x:v>
      </x:c>
      <x:c r="AV14" t="str">
        <x:v>B-Fulltext-Unavailable</x:v>
      </x:c>
      <x:c r="AW14" t="str">
        <x:v>Not Found</x:v>
      </x:c>
      <x:c r="AX14" t="str">
        <x:v>Unknown</x:v>
      </x:c>
      <x:c r="AY14" t="str">
        <x:v>Unknown</x:v>
      </x:c>
      <x:c r="AZ14" t="str">
        <x:v>https://proceedings.iclr.cc/paper_files/paper/2025/file/45c361d4117d598d4bb6568b407e9ac9-Paper-Conference.pdf</x:v>
      </x:c>
      <x:c r="BA14" t="str">
        <x:v>No</x:v>
      </x:c>
      <x:c r="BB14" t="str">
        <x:v>No</x:v>
      </x:c>
      <x:c r="BC14" t="str">
        <x:v>No</x:v>
      </x:c>
      <x:c r="BD14" t="str">
        <x:v>No</x:v>
      </x:c>
      <x:c r="BE14" t="str">
        <x:v>No</x:v>
      </x:c>
      <x:c r="BF14" t="str">
        <x:v>No</x:v>
      </x:c>
      <x:c r="BG14" t="str">
        <x:v>No</x:v>
      </x:c>
      <x:c r="BH14" t="str">
        <x:v>Matched</x:v>
      </x:c>
      <x:c r="BI14" t="str">
        <x:v>Not Found After Verification</x:v>
      </x:c>
      <x:c r="BJ14" t="str">
        <x:v>Not Found After Verification</x:v>
      </x:c>
      <x:c r="BK14" t="str">
        <x:v>Audit logged - deep extraction pending</x:v>
      </x:c>
      <x:c r="BL14" t="str">
        <x:v>false</x:v>
      </x:c>
      <x:c r="BM14"/>
      <x:c r="BN14" t="str">
        <x:v>研究问题：大型模仿策略在新环境中仍可能出现局部失误。；之前方法的问题：重新训练完整策略成本高，且难快速修复特定失败。；核心思路：Policy Decorator 在已有模仿策略外加模型无关的 residual policy，对执行动作进行局部修正。；数据集与评测基准：ManiSkill 与 Adroit，共八项任务。；主要结果：作者报告在两项 benchmark 的八个任务上提升所比较策略；具体幅度需查论文表格。；为什么重要：提供不改动主策略的轻量失败修正路线。；与当前项目的关系：High：可作为双臂 VLA 或 ACT 的附加纠错层。；主要局限：残差动作要经过安全限幅，避免真机接触中的突然修正。</x:v>
      </x:c>
      <x:c r="BO14" t="str">
        <x:v>重新训练完整策略成本高，且难快速修复特定失败。</x:v>
      </x:c>
      <x:c r="BP14" t="str">
        <x:v>Policy Decorator 在已有模仿策略外加模型无关的 residual policy，对执行动作进行局部修正。</x:v>
      </x:c>
      <x:c r="BQ14"/>
      <x:c r="BR14" t="str">
        <x:v>作者报告在两项 benchmark 的八个任务上提升所比较策略；具体幅度需查论文表格。</x:v>
      </x:c>
      <x:c r="BS14" t="str">
        <x:v>提供不改动主策略的轻量失败修正路线。</x:v>
      </x:c>
      <x:c r="BT14" t="str">
        <x:v>残差动作要经过安全限幅，避免真机接触中的突然修正。</x:v>
      </x:c>
      <x:c r="BU14"/>
      <x:c r="BV14" t="str">
        <x:v>High：可作为双臂 VLA 或 ACT 的附加纠错层。</x:v>
      </x:c>
      <x:c r="BW14" t="str">
        <x:v>官方摘要/论文页; https://proceedings.iclr.cc/paper_files/paper/2025/hash/45c361d4117d598d4bb6568b407e9ac9-Abstract-Conference.html; 核验于 2026-09-23. 仅为摘要级速读；原 Evidence Quality 不变。 - 核验层级：摘要有可追溯来源</x:v>
      </x:c>
      <x:c r="BX14" t="str">
        <x:v>final-title</x:v>
      </x:c>
      <x:c r="BY14" t="n">
        <x:v>0</x:v>
      </x:c>
      <x:c r="BZ14" t="n">
        <x:v>0</x:v>
      </x:c>
    </x:row>
    <x:row r="15" ht="58" customHeight="1">
      <x:c r="A15" t="str">
        <x:v>D014</x:v>
      </x:c>
      <x:c r="B15" t="str">
        <x:v>Demystifying Robot Diffusion Policies: Action Memorization and a Simple Lookup Table Alternative</x:v>
      </x:c>
      <x:c r="C15" t="n">
        <x:v>2026</x:v>
      </x:c>
      <x:c r="D15" t="str">
        <x:v>Method Paper</x:v>
      </x:c>
      <x:c r="E15" t="str">
        <x:v>ICLR</x:v>
      </x:c>
      <x:c r="F15" t="str">
        <x:v>ICLR 2026 Conference</x:v>
      </x:c>
      <x:c r="G15" t="str">
        <x:v>A (CCF 7th edition; venue category not independently extracted from official PDF)</x:v>
      </x:c>
      <x:c r="H15" t="str">
        <x:v>Robot Manipulation / IL / Diffusion</x:v>
      </x:c>
      <x:c r="I15" t="str">
        <x:v>Diffusion Policy / ACT / Generalization</x:v>
      </x:c>
      <x:c r="J15" t="str">
        <x:v>Robot Manipulation; Diffusion Policy / ACT / Generalization</x:v>
      </x:c>
      <x:c r="K15" t="e">
        <x:f>HYPERLINK("https://proceedings.iclr.cc/paper_files/paper/2026/hash/122ea6470232ee5e79a2649243348005-Abstract-Conference.html","论文")</x:f>
        <x:v>HYPERLINK is not implemented. linkLocation=https://proceedings.iclr.cc/paper_files/paper/2026/hash/122ea6470232ee5e79a2649243348005-Abstract-Conference.html, friendlyName=论文</x:v>
      </x:c>
      <x:c r="L15"/>
      <x:c r="M15" t="e">
        <x:f>HYPERLINK("https://stanfordmsl.github.io/alt/","Project")</x:f>
        <x:v>HYPERLINK is not implemented. linkLocation=https://stanfordmsl.github.io/alt/, friendlyName=Project</x:v>
      </x:c>
      <x:c r="N15"/>
      <x:c r="O15" t="str">
        <x:v>Unknown</x:v>
      </x:c>
      <x:c r="P15" t="str">
        <x:v>Unknown</x:v>
      </x:c>
      <x:c r="Q15"/>
      <x:c r="R15" t="str">
        <x:v>Unknown</x:v>
      </x:c>
      <x:c r="S15" t="str">
        <x:v>Parallel Gripper</x:v>
      </x:c>
      <x:c r="T15" t="str">
        <x:v>ICLR Proceedings</x:v>
      </x:c>
      <x:c r="U15" t="str">
        <x:v>P0</x:v>
      </x:c>
      <x:c r="V15" t="str">
        <x:v>Compares Diffusion Policy, ACT and GR00T on the same data.</x:v>
      </x:c>
      <x:c r="W15" t="str">
        <x:v>Official Verified</x:v>
      </x:c>
      <x:c r="X15" t="str">
        <x:v>2026-09-18</x:v>
      </x:c>
      <x:c r="Y15" t="str">
        <x:v>Diffusion / Flow / IL / RL</x:v>
      </x:c>
      <x:c r="Z15" t="str">
        <x:v>02_Papers/06_Diffusion_Flow_IL_RL/Demystifying_Robot_Diffusion_Policies_Action_Memorization_and_a_Simple_Lookup_Table_Altern.md</x:v>
      </x:c>
      <x:c r="AA15" t="str">
        <x:v>—</x:v>
      </x:c>
      <x:c r="AB15" t="str">
        <x:v>未可靠匹配</x:v>
      </x:c>
      <x:c r="AC15" t="str">
        <x:v>2026-09-25</x:v>
      </x:c>
      <x:c r="AD15" t="str">
        <x:v>Diffusion Policy 在少量示范下表现强，但其成功来源不够清楚。</x:v>
      </x:c>
      <x:c r="AE15" t="str">
        <x:v>Unknown / Needs Full-Paper Verification</x:v>
      </x:c>
      <x:c r="AF15" t="str">
        <x:v>Unknown / Needs Full-Paper Verification</x:v>
      </x:c>
      <x:c r="AG15" t="str">
        <x:v>已核验摘要未明确说明；需查阅论文方法与实验章节。</x:v>
      </x:c>
      <x:c r="AH15" t="str">
        <x:v>Unknown / Needs Full-Paper Verification</x:v>
      </x:c>
      <x:c r="AI15" t="str">
        <x:v>Unknown / Needs Full-Paper Verification</x:v>
      </x:c>
      <x:c r="AJ15" t="str">
        <x:v>Unknown / Needs Full-Paper Verification</x:v>
      </x:c>
      <x:c r="AK15" t="str">
        <x:v>论文报告 Diffusion Policy 有较强动作记忆，ACT 更偏动作插值；精确性能比较需看实验表。</x:v>
      </x:c>
      <x:c r="AL15" t="str">
        <x:v>Unknown / Needs Full-Paper Verification</x:v>
      </x:c>
      <x:c r="AM15" t="str">
        <x:v>Library Analysis / Research Note: Unknown / Needs Full-Paper Verification</x:v>
      </x:c>
      <x:c r="AN15" t="str">
        <x:v>Unknown / Needs Project-Specific Review</x:v>
      </x:c>
      <x:c r="AO15" t="str">
        <x:v>Unknown</x:v>
      </x:c>
      <x:c r="AP15" t="str">
        <x:v>B</x:v>
      </x:c>
      <x:c r="AQ15"/>
      <x:c r="AR15" t="str">
        <x:v>Unknown / Not Explicitly Reported in the currently accessible sources.</x:v>
      </x:c>
      <x:c r="AS15" t="str">
        <x:v>Unknown / Not Explicitly Reported in the currently accessible sources.</x:v>
      </x:c>
      <x:c r="AT15" t="str">
        <x:v>—</x:v>
      </x:c>
      <x:c r="AU15" t="str">
        <x:v>Unknown</x:v>
      </x:c>
      <x:c r="AV15" t="str">
        <x:v>B-Fulltext-Unavailable</x:v>
      </x:c>
      <x:c r="AW15" t="str">
        <x:v>Not Found</x:v>
      </x:c>
      <x:c r="AX15" t="str">
        <x:v>Unknown</x:v>
      </x:c>
      <x:c r="AY15" t="str">
        <x:v>Unknown</x:v>
      </x:c>
      <x:c r="AZ15" t="str">
        <x:v>https://proceedings.iclr.cc/paper_files/paper/2026/file/122ea6470232ee5e79a2649243348005-Paper-Conference.pdf</x:v>
      </x:c>
      <x:c r="BA15" t="str">
        <x:v>No</x:v>
      </x:c>
      <x:c r="BB15" t="str">
        <x:v>No</x:v>
      </x:c>
      <x:c r="BC15" t="str">
        <x:v>No</x:v>
      </x:c>
      <x:c r="BD15" t="str">
        <x:v>No</x:v>
      </x:c>
      <x:c r="BE15" t="str">
        <x:v>No</x:v>
      </x:c>
      <x:c r="BF15" t="str">
        <x:v>No</x:v>
      </x:c>
      <x:c r="BG15" t="str">
        <x:v>No</x:v>
      </x:c>
      <x:c r="BH15" t="str">
        <x:v>Unresolved</x:v>
      </x:c>
      <x:c r="BI15" t="str">
        <x:v>Not Found After Verification</x:v>
      </x:c>
      <x:c r="BJ15" t="str">
        <x:v>Not Found After Verification</x:v>
      </x:c>
      <x:c r="BK15" t="str">
        <x:v>Audit logged - deep extraction pending</x:v>
      </x:c>
      <x:c r="BL15" t="str">
        <x:v>false</x:v>
      </x:c>
      <x:c r="BM15"/>
      <x:c r="BN15" t="str">
        <x:v>研究问题：Diffusion Policy 在少量示范下表现强，但其成功来源不够清楚。；之前方法的问题：需要区分动作分布建模、记忆和插值各自的贡献。；核心思路：提出 Action Lookup Table 作为简单对照，分析 Diffusion Policy 与 ACT 在动作记忆和插值上的差异。；主要结果：论文报告 Diffusion Policy 有较强动作记忆，ACT 更偏动作插值；精确性能比较需看实验表。；为什么重要：防止把复杂模型的优势误判成真正泛化。；与当前项目的关系：High：项目需用未见物体和场景测试真实泛化。；主要局限：简单查表基线的有效性依赖示范分布；真机长任务仍需验证。</x:v>
      </x:c>
      <x:c r="BO15" t="str">
        <x:v>需要区分动作分布建模、记忆和插值各自的贡献。</x:v>
      </x:c>
      <x:c r="BP15" t="str">
        <x:v>提出 Action Lookup Table 作为简单对照，分析 Diffusion Policy 与 ACT 在动作记忆和插值上的差异。</x:v>
      </x:c>
      <x:c r="BQ15"/>
      <x:c r="BR15" t="str">
        <x:v>论文报告 Diffusion Policy 有较强动作记忆，ACT 更偏动作插值；精确性能比较需看实验表。</x:v>
      </x:c>
      <x:c r="BS15" t="str">
        <x:v>防止把复杂模型的优势误判成真正泛化。</x:v>
      </x:c>
      <x:c r="BT15" t="str">
        <x:v>简单查表基线的有效性依赖示范分布；真机长任务仍需验证。</x:v>
      </x:c>
      <x:c r="BU15"/>
      <x:c r="BV15" t="str">
        <x:v>High：项目需用未见物体和场景测试真实泛化。</x:v>
      </x:c>
      <x:c r="BW15" t="str">
        <x:v>官方摘要/论文页; https://proceedings.iclr.cc/paper_files/paper/2026/hash/122ea6470232ee5e79a2649243348005-Abstract-Conference.html; 核验于 2026-09-23. 仅为摘要级速读；原 Evidence Quality 不变。 - 核验层级：摘要有可追溯来源</x:v>
      </x:c>
      <x:c r="BX15" t="str">
        <x:v>Unresolved; no reliable citation service count</x:v>
      </x:c>
      <x:c r="BY15" t="n">
        <x:v>0</x:v>
      </x:c>
      <x:c r="BZ15" t="n">
        <x:v>0</x:v>
      </x:c>
    </x:row>
    <x:row r="16" ht="58" customHeight="1">
      <x:c r="A16" t="str">
        <x:v>D015</x:v>
      </x:c>
      <x:c r="B16" t="str">
        <x:v>SP-VLA: A Joint Model Scheduling and Token Pruning Approach for VLA Model Acceleration</x:v>
      </x:c>
      <x:c r="C16" t="n">
        <x:v>2026</x:v>
      </x:c>
      <x:c r="D16" t="str">
        <x:v>Method Paper</x:v>
      </x:c>
      <x:c r="E16" t="str">
        <x:v>ICLR</x:v>
      </x:c>
      <x:c r="F16" t="str">
        <x:v>ICLR 2026 Conference</x:v>
      </x:c>
      <x:c r="G16" t="str">
        <x:v>A (CCF 7th edition; venue category not independently extracted from official PDF)</x:v>
      </x:c>
      <x:c r="H16" t="str">
        <x:v>VLA / Robot Foundation Models</x:v>
      </x:c>
      <x:c r="I16" t="str">
        <x:v>Inference Acceleration / Token Pruning</x:v>
      </x:c>
      <x:c r="J16" t="str">
        <x:v>VLA; Inference Acceleration / Token Pruning</x:v>
      </x:c>
      <x:c r="K16" t="e">
        <x:f>HYPERLINK("https://proceedings.iclr.cc/paper_files/paper/2026/hash/4072543747a14bbed76284cf2c04b9e9-Abstract-Conference.html","论文")</x:f>
        <x:v>HYPERLINK is not implemented. linkLocation=https://proceedings.iclr.cc/paper_files/paper/2026/hash/4072543747a14bbed76284cf2c04b9e9-Abstract-Conference.html, friendlyName=论文</x:v>
      </x:c>
      <x:c r="L16"/>
      <x:c r="M16"/>
      <x:c r="N16"/>
      <x:c r="O16" t="str">
        <x:v>Unknown</x:v>
      </x:c>
      <x:c r="P16" t="str">
        <x:v>Unknown</x:v>
      </x:c>
      <x:c r="Q16"/>
      <x:c r="R16" t="str">
        <x:v>Unknown</x:v>
      </x:c>
      <x:c r="S16" t="str">
        <x:v>Unknown</x:v>
      </x:c>
      <x:c r="T16" t="str">
        <x:v>ICLR Proceedings</x:v>
      </x:c>
      <x:c r="U16" t="str">
        <x:v>P1</x:v>
      </x:c>
      <x:c r="V16"/>
      <x:c r="W16" t="str">
        <x:v>Official Verified</x:v>
      </x:c>
      <x:c r="X16" t="str">
        <x:v>2026-09-18</x:v>
      </x:c>
      <x:c r="Y16" t="str">
        <x:v>VLA</x:v>
      </x:c>
      <x:c r="Z16" t="str">
        <x:v>02_Papers/01_VLA/SP-VLA.md</x:v>
      </x:c>
      <x:c r="AA16" t="n">
        <x:v>0</x:v>
      </x:c>
      <x:c r="AB16" t="str">
        <x:v>OpenAlex</x:v>
      </x:c>
      <x:c r="AC16" t="str">
        <x:v>2026-09-25</x:v>
      </x:c>
      <x:c r="AD16" t="str">
        <x:v>VLA 推理开销大，在线控制频率受限。</x:v>
      </x:c>
      <x:c r="AE16" t="str">
        <x:v>Unknown / Needs Full-Paper Verification</x:v>
      </x:c>
      <x:c r="AF16" t="str">
        <x:v>Unknown / Needs Full-Paper Verification</x:v>
      </x:c>
      <x:c r="AG16" t="str">
        <x:v>LIBERO、SimplerEnv 与论文列出的真机任务。</x:v>
      </x:c>
      <x:c r="AH16" t="str">
        <x:v>Unknown / Needs Full-Paper Verification</x:v>
      </x:c>
      <x:c r="AI16" t="str">
        <x:v>Unknown / Needs Full-Paper Verification</x:v>
      </x:c>
      <x:c r="AJ16" t="str">
        <x:v>Unknown / Needs Full-Paper Verification</x:v>
      </x:c>
      <x:c r="AK16" t="str">
        <x:v>论文报告 LIBERO 无损加速约 1.5 倍、SimplerEnv 约 2.4 倍；平均成功率变化需按论文设置理解。</x:v>
      </x:c>
      <x:c r="AL16" t="str">
        <x:v>Unknown / Needs Full-Paper Verification</x:v>
      </x:c>
      <x:c r="AM16" t="str">
        <x:v>Library Analysis / Research Note: Unknown / Needs Full-Paper Verification</x:v>
      </x:c>
      <x:c r="AN16" t="str">
        <x:v>Unknown / Needs Project-Specific Review</x:v>
      </x:c>
      <x:c r="AO16" t="str">
        <x:v>Unknown</x:v>
      </x:c>
      <x:c r="AP16" t="str">
        <x:v>B</x:v>
      </x:c>
      <x:c r="AQ16"/>
      <x:c r="AR16" t="str">
        <x:v>Unknown / Not Explicitly Reported in the currently accessible sources.</x:v>
      </x:c>
      <x:c r="AS16" t="str">
        <x:v>Unknown / Not Explicitly Reported in the currently accessible sources.</x:v>
      </x:c>
      <x:c r="AT16" t="str">
        <x:v>https://openalex.org/W4417536563</x:v>
      </x:c>
      <x:c r="AU16" t="str">
        <x:v>Unknown</x:v>
      </x:c>
      <x:c r="AV16" t="str">
        <x:v>B-Fulltext-Unavailable</x:v>
      </x:c>
      <x:c r="AW16" t="str">
        <x:v>Not Found</x:v>
      </x:c>
      <x:c r="AX16" t="str">
        <x:v>Unknown</x:v>
      </x:c>
      <x:c r="AY16" t="str">
        <x:v>Unknown</x:v>
      </x:c>
      <x:c r="AZ16" t="str">
        <x:v>https://proceedings.iclr.cc/paper_files/paper/2026/file/4072543747a14bbed76284cf2c04b9e9-Paper-Conference.pdf</x:v>
      </x:c>
      <x:c r="BA16" t="str">
        <x:v>No</x:v>
      </x:c>
      <x:c r="BB16" t="str">
        <x:v>No</x:v>
      </x:c>
      <x:c r="BC16" t="str">
        <x:v>No</x:v>
      </x:c>
      <x:c r="BD16" t="str">
        <x:v>No</x:v>
      </x:c>
      <x:c r="BE16" t="str">
        <x:v>No</x:v>
      </x:c>
      <x:c r="BF16" t="str">
        <x:v>No</x:v>
      </x:c>
      <x:c r="BG16" t="str">
        <x:v>No</x:v>
      </x:c>
      <x:c r="BH16" t="str">
        <x:v>Matched</x:v>
      </x:c>
      <x:c r="BI16" t="str">
        <x:v>Not Found After Verification</x:v>
      </x:c>
      <x:c r="BJ16" t="str">
        <x:v>Not Found After Verification</x:v>
      </x:c>
      <x:c r="BK16" t="str">
        <x:v>Audit logged - deep extraction pending</x:v>
      </x:c>
      <x:c r="BL16" t="str">
        <x:v>false</x:v>
      </x:c>
      <x:c r="BM16"/>
      <x:c r="BN16" t="str">
        <x:v>研究问题：VLA 推理开销大，在线控制频率受限。；之前方法的问题：固定模型规模与统一 token 处理会浪费简单状态的计算。；核心思路：SP-VLA 联合进行模型调度与 token 剪枝，在不同状态分配不同推理计算量。；数据集与评测基准：LIBERO、SimplerEnv 与论文列出的真机任务。；主要结果：论文报告 LIBERO 无损加速约 1.5 倍、SimplerEnv 约 2.4 倍；平均成功率变化需按论文设置理解。；为什么重要：为双臂 VLA 真机控制提供延迟优化方向。；与当前项目的关系：High：控制频率会影响双臂同步和失败恢复。；主要局限：剪枝造成的少数困难状态失误，需用真实任务失败案例检验。</x:v>
      </x:c>
      <x:c r="BO16" t="str">
        <x:v>固定模型规模与统一 token 处理会浪费简单状态的计算。</x:v>
      </x:c>
      <x:c r="BP16" t="str">
        <x:v>SP-VLA 联合进行模型调度与 token 剪枝，在不同状态分配不同推理计算量。</x:v>
      </x:c>
      <x:c r="BQ16"/>
      <x:c r="BR16" t="str">
        <x:v>论文报告 LIBERO 无损加速约 1.5 倍、SimplerEnv 约 2.4 倍；平均成功率变化需按论文设置理解。</x:v>
      </x:c>
      <x:c r="BS16" t="str">
        <x:v>为双臂 VLA 真机控制提供延迟优化方向。</x:v>
      </x:c>
      <x:c r="BT16" t="str">
        <x:v>剪枝造成的少数困难状态失误，需用真实任务失败案例检验。</x:v>
      </x:c>
      <x:c r="BU16"/>
      <x:c r="BV16" t="str">
        <x:v>High：控制频率会影响双臂同步和失败恢复。</x:v>
      </x:c>
      <x:c r="BW16" t="str">
        <x:v>官方摘要/论文页; https://arxiv.org/html/2506.12723; 核验于 2026-09-23. 仅为摘要级速读；原 Evidence Quality 不变。 - 核验层级：摘要有可追溯来源</x:v>
      </x:c>
      <x:c r="BX16" t="str">
        <x:v>final-title</x:v>
      </x:c>
      <x:c r="BY16" t="n">
        <x:v>4</x:v>
      </x:c>
      <x:c r="BZ16" t="n">
        <x:v>0</x:v>
      </x:c>
    </x:row>
    <x:row r="17" ht="58" customHeight="1">
      <x:c r="A17" t="str">
        <x:v>D016</x:v>
      </x:c>
      <x:c r="B17" t="str">
        <x:v>SimpleVLA-RL: Scaling VLA Training via Reinforcement Learning</x:v>
      </x:c>
      <x:c r="C17" t="n">
        <x:v>2026</x:v>
      </x:c>
      <x:c r="D17" t="str">
        <x:v>Method Paper</x:v>
      </x:c>
      <x:c r="E17" t="str">
        <x:v>ICLR</x:v>
      </x:c>
      <x:c r="F17" t="str">
        <x:v>ICLR 2026 Conference</x:v>
      </x:c>
      <x:c r="G17" t="str">
        <x:v>A (CCF 7th edition; venue category not independently extracted from official PDF)</x:v>
      </x:c>
      <x:c r="H17" t="str">
        <x:v>VLA / Robot Foundation Models</x:v>
      </x:c>
      <x:c r="I17" t="str">
        <x:v>Reinforcement Learning / Post-Training</x:v>
      </x:c>
      <x:c r="J17" t="str">
        <x:v>VLA; Reinforcement Learning / Post-Training</x:v>
      </x:c>
      <x:c r="K17" t="e">
        <x:f>HYPERLINK("https://proceedings.iclr.cc/paper_files/paper/2026/hash/cbfbcb4da14235bd69b134070898ae9d-Abstract-Conference.html","论文")</x:f>
        <x:v>HYPERLINK is not implemented. linkLocation=https://proceedings.iclr.cc/paper_files/paper/2026/hash/cbfbcb4da14235bd69b134070898ae9d-Abstract-Conference.html, friendlyName=论文</x:v>
      </x:c>
      <x:c r="L17"/>
      <x:c r="M17"/>
      <x:c r="N17"/>
      <x:c r="O17" t="str">
        <x:v>Unknown</x:v>
      </x:c>
      <x:c r="P17" t="str">
        <x:v>Unknown</x:v>
      </x:c>
      <x:c r="Q17"/>
      <x:c r="R17" t="str">
        <x:v>Unknown</x:v>
      </x:c>
      <x:c r="S17" t="str">
        <x:v>Unknown</x:v>
      </x:c>
      <x:c r="T17" t="str">
        <x:v>ICLR Proceedings</x:v>
      </x:c>
      <x:c r="U17" t="str">
        <x:v>P1</x:v>
      </x:c>
      <x:c r="V17"/>
      <x:c r="W17" t="str">
        <x:v>Official Verified</x:v>
      </x:c>
      <x:c r="X17" t="str">
        <x:v>2026-09-18</x:v>
      </x:c>
      <x:c r="Y17" t="str">
        <x:v>VLA</x:v>
      </x:c>
      <x:c r="Z17" t="str">
        <x:v>02_Papers/01_VLA/SimpleVLA-RL.md</x:v>
      </x:c>
      <x:c r="AA17" t="str">
        <x:v>—</x:v>
      </x:c>
      <x:c r="AB17" t="str">
        <x:v>未可靠匹配</x:v>
      </x:c>
      <x:c r="AC17" t="str">
        <x:v>2026-09-25</x:v>
      </x:c>
      <x:c r="AD17" t="str">
        <x:v>预训练 VLA 在新操作任务上仍需更有效的策略改进。</x:v>
      </x:c>
      <x:c r="AE17" t="str">
        <x:v>Unknown / Needs Full-Paper Verification</x:v>
      </x:c>
      <x:c r="AF17" t="str">
        <x:v>Unknown / Needs Full-Paper Verification</x:v>
      </x:c>
      <x:c r="AG17" t="str">
        <x:v>LIBERO、RoboTwin 与真机任务。</x:v>
      </x:c>
      <x:c r="AH17" t="str">
        <x:v>Unknown / Needs Full-Paper Verification</x:v>
      </x:c>
      <x:c r="AI17" t="str">
        <x:v>Unknown / Needs Full-Paper Verification</x:v>
      </x:c>
      <x:c r="AJ17" t="str">
        <x:v>Unknown / Needs Full-Paper Verification</x:v>
      </x:c>
      <x:c r="AK17" t="str">
        <x:v>作者报告 LIBERO 上达到先进水平，在 RoboTwin 和真机任务上优于所比较方法；完整数值见论文表格。</x:v>
      </x:c>
      <x:c r="AL17" t="str">
        <x:v>Unknown / Needs Full-Paper Verification</x:v>
      </x:c>
      <x:c r="AM17" t="str">
        <x:v>Library Analysis / Research Note: Unknown / Needs Full-Paper Verification</x:v>
      </x:c>
      <x:c r="AN17" t="str">
        <x:v>Unknown / Needs Project-Specific Review</x:v>
      </x:c>
      <x:c r="AO17" t="str">
        <x:v>Unknown</x:v>
      </x:c>
      <x:c r="AP17" t="str">
        <x:v>B</x:v>
      </x:c>
      <x:c r="AQ17"/>
      <x:c r="AR17" t="str">
        <x:v>Unknown / Not Explicitly Reported in the currently accessible sources.</x:v>
      </x:c>
      <x:c r="AS17" t="str">
        <x:v>Unknown / Not Explicitly Reported in the currently accessible sources.</x:v>
      </x:c>
      <x:c r="AT17" t="str">
        <x:v>—</x:v>
      </x:c>
      <x:c r="AU17" t="str">
        <x:v>Unknown</x:v>
      </x:c>
      <x:c r="AV17" t="str">
        <x:v>B-Fulltext-Unavailable</x:v>
      </x:c>
      <x:c r="AW17" t="str">
        <x:v>Not Found</x:v>
      </x:c>
      <x:c r="AX17" t="str">
        <x:v>Unknown</x:v>
      </x:c>
      <x:c r="AY17" t="str">
        <x:v>Unknown</x:v>
      </x:c>
      <x:c r="AZ17" t="str">
        <x:v>https://proceedings.iclr.cc/paper_files/paper/2026/file/cbfbcb4da14235bd69b134070898ae9d-Paper-Conference.pdf</x:v>
      </x:c>
      <x:c r="BA17" t="str">
        <x:v>No</x:v>
      </x:c>
      <x:c r="BB17" t="str">
        <x:v>No</x:v>
      </x:c>
      <x:c r="BC17" t="str">
        <x:v>No</x:v>
      </x:c>
      <x:c r="BD17" t="str">
        <x:v>No</x:v>
      </x:c>
      <x:c r="BE17" t="str">
        <x:v>No</x:v>
      </x:c>
      <x:c r="BF17" t="str">
        <x:v>No</x:v>
      </x:c>
      <x:c r="BG17" t="str">
        <x:v>No</x:v>
      </x:c>
      <x:c r="BH17" t="str">
        <x:v>Unresolved</x:v>
      </x:c>
      <x:c r="BI17" t="str">
        <x:v>Not Found After Verification</x:v>
      </x:c>
      <x:c r="BJ17" t="str">
        <x:v>Not Found After Verification</x:v>
      </x:c>
      <x:c r="BK17" t="str">
        <x:v>Audit logged - deep extraction pending</x:v>
      </x:c>
      <x:c r="BL17" t="str">
        <x:v>false</x:v>
      </x:c>
      <x:c r="BM17"/>
      <x:c r="BN17" t="str">
        <x:v>研究问题：预训练 VLA 在新操作任务上仍需更有效的策略改进。；之前方法的问题：只做监督微调可能难利用真实成功/失败反馈。；核心思路：SimpleVLA-RL 针对 VLA 设计高效强化学习与探索机制，继续优化操作策略。；数据集与评测基准：LIBERO、RoboTwin 与真机任务。；主要结果：作者报告 LIBERO 上达到先进水平，在 RoboTwin 和真机任务上优于所比较方法；完整数值见论文表格。；为什么重要：为 VLA 从示范学习走向结果反馈优化提供基线。；与当前项目的关系：High：双臂真机可关注安全约束下的策略改善。；主要局限：真机 RL 的数据成本、失败代价和安全边界必须单独评估。</x:v>
      </x:c>
      <x:c r="BO17" t="str">
        <x:v>只做监督微调可能难利用真实成功/失败反馈。</x:v>
      </x:c>
      <x:c r="BP17" t="str">
        <x:v>SimpleVLA-RL 针对 VLA 设计高效强化学习与探索机制，继续优化操作策略。</x:v>
      </x:c>
      <x:c r="BQ17"/>
      <x:c r="BR17" t="str">
        <x:v>作者报告 LIBERO 上达到先进水平，在 RoboTwin 和真机任务上优于所比较方法；完整数值见论文表格。</x:v>
      </x:c>
      <x:c r="BS17" t="str">
        <x:v>为 VLA 从示范学习走向结果反馈优化提供基线。</x:v>
      </x:c>
      <x:c r="BT17" t="str">
        <x:v>真机 RL 的数据成本、失败代价和安全边界必须单独评估。</x:v>
      </x:c>
      <x:c r="BU17"/>
      <x:c r="BV17" t="str">
        <x:v>High：双臂真机可关注安全约束下的策略改善。</x:v>
      </x:c>
      <x:c r="BW17" t="str">
        <x:v>官方摘要/论文页; https://arxiv.org/html/2509.09674; 核验于 2026-09-23. 仅为摘要级速读；原 Evidence Quality 不变。 - 核验层级：摘要有可追溯来源</x:v>
      </x:c>
      <x:c r="BX17" t="str">
        <x:v>Unresolved; no reliable citation service count</x:v>
      </x:c>
      <x:c r="BY17" t="n">
        <x:v>6</x:v>
      </x:c>
      <x:c r="BZ17" t="n">
        <x:v>2</x:v>
      </x:c>
    </x:row>
    <x:row r="18" ht="58" customHeight="1">
      <x:c r="A18" t="str">
        <x:v>D017</x:v>
      </x:c>
      <x:c r="B18" t="str">
        <x:v>Actions as Language: Fine-Tuning VLMs into VLAs Without Catastrophic Forgetting</x:v>
      </x:c>
      <x:c r="C18" t="n">
        <x:v>2026</x:v>
      </x:c>
      <x:c r="D18" t="str">
        <x:v>Method Paper</x:v>
      </x:c>
      <x:c r="E18" t="str">
        <x:v>ICLR</x:v>
      </x:c>
      <x:c r="F18" t="str">
        <x:v>ICLR 2026 Conference</x:v>
      </x:c>
      <x:c r="G18" t="str">
        <x:v>A (CCF 7th edition; venue category not independently extracted from official PDF)</x:v>
      </x:c>
      <x:c r="H18" t="str">
        <x:v>VLA / Robot Foundation Models</x:v>
      </x:c>
      <x:c r="I18" t="str">
        <x:v>Action Representation / Teleoperation</x:v>
      </x:c>
      <x:c r="J18" t="str">
        <x:v>VLA; Action Representation / Teleoperation</x:v>
      </x:c>
      <x:c r="K18" t="e">
        <x:f>HYPERLINK("https://proceedings.iclr.cc/paper_files/paper/2026/hash/7a0f8055c838df8e62329a76c7c6403d-Abstract-Conference.html","论文")</x:f>
        <x:v>HYPERLINK is not implemented. linkLocation=https://proceedings.iclr.cc/paper_files/paper/2026/hash/7a0f8055c838df8e62329a76c7c6403d-Abstract-Conference.html, friendlyName=论文</x:v>
      </x:c>
      <x:c r="L18"/>
      <x:c r="M18"/>
      <x:c r="N18"/>
      <x:c r="O18" t="str">
        <x:v>Unknown</x:v>
      </x:c>
      <x:c r="P18" t="str">
        <x:v>Unknown</x:v>
      </x:c>
      <x:c r="Q18"/>
      <x:c r="R18" t="str">
        <x:v>Unknown</x:v>
      </x:c>
      <x:c r="S18" t="str">
        <x:v>Unknown</x:v>
      </x:c>
      <x:c r="T18" t="str">
        <x:v>ICLR Proceedings</x:v>
      </x:c>
      <x:c r="U18" t="str">
        <x:v>P1</x:v>
      </x:c>
      <x:c r="V18"/>
      <x:c r="W18" t="str">
        <x:v>Official Verified</x:v>
      </x:c>
      <x:c r="X18" t="str">
        <x:v>2026-09-18</x:v>
      </x:c>
      <x:c r="Y18" t="str">
        <x:v>VLA</x:v>
      </x:c>
      <x:c r="Z18" t="str">
        <x:v>02_Papers/01_VLA/Actions_as_Language.md</x:v>
      </x:c>
      <x:c r="AA18" t="str">
        <x:v>—</x:v>
      </x:c>
      <x:c r="AB18" t="str">
        <x:v>未可靠匹配</x:v>
      </x:c>
      <x:c r="AC18" t="str">
        <x:v>2026-09-25</x:v>
      </x:c>
      <x:c r="AD18" t="str">
        <x:v>直接用机器人动作微调 VLM，可能损伤原有语言与多模态推理能力。</x:v>
      </x:c>
      <x:c r="AE18" t="str">
        <x:v>Unknown / Needs Full-Paper Verification</x:v>
      </x:c>
      <x:c r="AF18" t="str">
        <x:v>Unknown / Needs Full-Paper Verification</x:v>
      </x:c>
      <x:c r="AG18" t="str">
        <x:v>BridgeData V2 遥操作轨迹被重新标成分层语言；标注成本和抽查方法见 Appendix 6.1。</x:v>
      </x:c>
      <x:c r="AH18" t="str">
        <x:v>Unknown / Needs Full-Paper Verification</x:v>
      </x:c>
      <x:c r="AI18" t="str">
        <x:v>Unknown / Needs Full-Paper Verification</x:v>
      </x:c>
      <x:c r="AJ18" t="str">
        <x:v>Unknown / Needs Full-Paper Verification</x:v>
      </x:c>
      <x:c r="AK18" t="str">
        <x:v>在 “Item Above Ash Ketchum” 任务上，VLM2VLA 成功率为 60%，动作 token 消融为 30%；动作生成周期中位延迟为 6.1 s（Sec. 4.2.2、5.1）。</x:v>
      </x:c>
      <x:c r="AL18" t="str">
        <x:v>Unknown / Needs Full-Paper Verification</x:v>
      </x:c>
      <x:c r="AM18" t="str">
        <x:v>Library Analysis / Research Note: Unknown / Needs Full-Paper Verification</x:v>
      </x:c>
      <x:c r="AN18" t="str">
        <x:v>Unknown / Needs Project-Specific Review</x:v>
      </x:c>
      <x:c r="AO18" t="str">
        <x:v>Unknown</x:v>
      </x:c>
      <x:c r="AP18" t="str">
        <x:v>A</x:v>
      </x:c>
      <x:c r="AQ18"/>
      <x:c r="AR18" t="str">
        <x:v>Unknown / Not Explicitly Reported in the currently accessible sources.</x:v>
      </x:c>
      <x:c r="AS18" t="str">
        <x:v>Unknown / Not Explicitly Reported in the currently accessible sources.</x:v>
      </x:c>
      <x:c r="AT18" t="str">
        <x:v>—</x:v>
      </x:c>
      <x:c r="AU18" t="str">
        <x:v>Unknown</x:v>
      </x:c>
      <x:c r="AV18" t="str">
        <x:v>A-Upgraded</x:v>
      </x:c>
      <x:c r="AW18" t="str">
        <x:v>Not Found</x:v>
      </x:c>
      <x:c r="AX18" t="str">
        <x:v>Unknown</x:v>
      </x:c>
      <x:c r="AY18" t="str">
        <x:v>Unknown</x:v>
      </x:c>
      <x:c r="AZ18" t="str">
        <x:v>https://proceedings.iclr.cc/paper_files/paper/2026/file/7a0f8055c838df8e62329a76c7c6403d-Paper-Conference.pdf</x:v>
      </x:c>
      <x:c r="BA18" t="str">
        <x:v>No</x:v>
      </x:c>
      <x:c r="BB18" t="str">
        <x:v>No</x:v>
      </x:c>
      <x:c r="BC18" t="str">
        <x:v>No</x:v>
      </x:c>
      <x:c r="BD18" t="str">
        <x:v>No</x:v>
      </x:c>
      <x:c r="BE18" t="str">
        <x:v>No</x:v>
      </x:c>
      <x:c r="BF18" t="str">
        <x:v>No</x:v>
      </x:c>
      <x:c r="BG18" t="str">
        <x:v>No</x:v>
      </x:c>
      <x:c r="BH18" t="str">
        <x:v>Unresolved</x:v>
      </x:c>
      <x:c r="BI18" t="str">
        <x:v>Not Found After Verification</x:v>
      </x:c>
      <x:c r="BJ18" t="str">
        <x:v>Not Found After Verification</x:v>
      </x:c>
      <x:c r="BK18" t="str">
        <x:v>Audit logged - deep extraction pending</x:v>
      </x:c>
      <x:c r="BL18" t="str">
        <x:v>false</x:v>
      </x:c>
      <x:c r="BM18"/>
      <x:c r="BN18" t="str">
        <x:v>研究问题：直接用机器人动作微调 VLM，可能损伤原有语言与多模态推理能力。；之前方法的问题：直接把底层动作当作特殊 token 微调，可能与 VLM 的语言预训练形式不一致。；核心思路：VLM2VLA 先把底层动作写成自然语言形式，使机器人动作数据与 VLM 的原有输出形式更一致。；数据集与评测基准：BridgeData V2 遥操作轨迹被重新标成分层语言；标注成本和抽查方法见 Appendix 6.1。；主要结果：在 “Item Above Ash Ketchum” 任务上，VLM2VLA 成功率为 60%，动作 token 消融为 30%；动作生成周期中位延迟为 6.1 s（Sec. 4.2.2、5.1）。；为什么重要：提出一种尽量保留 VLM 推理能力的 VLA 微调接口；延迟也提示真机部署成本。；与当前项目的关系：High：有助于研究语言条件操作与 VLA 设计。；主要局限：作者报告动作生成中位延迟 6.1 s，实验控制维度和本体范围有限；复杂旋转及跨本体迁移仍需验证。</x:v>
      </x:c>
      <x:c r="BO18" t="str">
        <x:v>直接把底层动作当作特殊 token 微调，可能与 VLM 的语言预训练形式不一致。</x:v>
      </x:c>
      <x:c r="BP18" t="str">
        <x:v>VLM2VLA 先把底层动作写成自然语言形式，使机器人动作数据与 VLM 的原有输出形式更一致。</x:v>
      </x:c>
      <x:c r="BQ18"/>
      <x:c r="BR18" t="str">
        <x:v>在 “Item Above Ash Ketchum” 任务上，VLM2VLA 成功率为 60%，动作 token 消融为 30%；动作生成周期中位延迟为 6.1 s（Sec. 4.2.2、5.1）。</x:v>
      </x:c>
      <x:c r="BS18" t="str">
        <x:v>提出一种尽量保留 VLM 推理能力的 VLA 微调接口；延迟也提示真机部署成本。</x:v>
      </x:c>
      <x:c r="BT18" t="str">
        <x:v>作者报告动作生成中位延迟 6.1 s，实验控制维度和本体范围有限；复杂旋转及跨本体迁移仍需验证。</x:v>
      </x:c>
      <x:c r="BU18"/>
      <x:c r="BV18" t="str">
        <x:v>High：有助于研究语言条件操作与 VLA 设计。</x:v>
      </x:c>
      <x:c r="BW18" t="str">
        <x:v>官方摘要/论文页; https://arxiv.org/html/2509.22195; 核验于 2026-09-23. 仅为摘要级速读；原 Evidence Quality 不变。 - 核验层级：摘要有可追溯来源</x:v>
      </x:c>
      <x:c r="BX18" t="str">
        <x:v>Unresolved; no reliable citation service count</x:v>
      </x:c>
      <x:c r="BY18" t="n">
        <x:v>8</x:v>
      </x:c>
      <x:c r="BZ18" t="n">
        <x:v>1</x:v>
      </x:c>
    </x:row>
    <x:row r="19" ht="58" customHeight="1">
      <x:c r="A19" t="str">
        <x:v>D018</x:v>
      </x:c>
      <x:c r="B19" t="str">
        <x:v>Real-Time Robot Execution with Masked Action Chunking</x:v>
      </x:c>
      <x:c r="C19" t="n">
        <x:v>2026</x:v>
      </x:c>
      <x:c r="D19" t="str">
        <x:v>Method Paper</x:v>
      </x:c>
      <x:c r="E19" t="str">
        <x:v>ICLR</x:v>
      </x:c>
      <x:c r="F19" t="str">
        <x:v>ICLR 2026 Conference</x:v>
      </x:c>
      <x:c r="G19" t="str">
        <x:v>A (CCF 7th edition; venue category not independently extracted from official PDF)</x:v>
      </x:c>
      <x:c r="H19" t="str">
        <x:v>Robot Manipulation / IL / Diffusion</x:v>
      </x:c>
      <x:c r="I19" t="str">
        <x:v>Action Chunking / Asynchronous Inference</x:v>
      </x:c>
      <x:c r="J19" t="str">
        <x:v>Imitation Learning; Action Chunking / Asynchronous Inference</x:v>
      </x:c>
      <x:c r="K19" t="e">
        <x:f>HYPERLINK("https://proceedings.iclr.cc/paper_files/paper/2026/hash/c35834443b7881e782e52b3519fe27c7-Abstract-Conference.html","论文")</x:f>
        <x:v>HYPERLINK is not implemented. linkLocation=https://proceedings.iclr.cc/paper_files/paper/2026/hash/c35834443b7881e782e52b3519fe27c7-Abstract-Conference.html, friendlyName=论文</x:v>
      </x:c>
      <x:c r="L19"/>
      <x:c r="M19"/>
      <x:c r="N19"/>
      <x:c r="O19" t="str">
        <x:v>Unknown</x:v>
      </x:c>
      <x:c r="P19" t="str">
        <x:v>Unknown</x:v>
      </x:c>
      <x:c r="Q19"/>
      <x:c r="R19" t="str">
        <x:v>Mixed</x:v>
      </x:c>
      <x:c r="S19" t="str">
        <x:v>Parallel Gripper</x:v>
      </x:c>
      <x:c r="T19" t="str">
        <x:v>ICLR Proceedings</x:v>
      </x:c>
      <x:c r="U19" t="str">
        <x:v>P1</x:v>
      </x:c>
      <x:c r="V19" t="str">
        <x:v>Abstract reports simulation and real-world evaluations.</x:v>
      </x:c>
      <x:c r="W19" t="str">
        <x:v>Official Verified</x:v>
      </x:c>
      <x:c r="X19" t="str">
        <x:v>2026-09-18</x:v>
      </x:c>
      <x:c r="Y19" t="str">
        <x:v>Diffusion / Flow / IL / RL</x:v>
      </x:c>
      <x:c r="Z19" t="str">
        <x:v>02_Papers/06_Diffusion_Flow_IL_RL/Real-Time_Robot_Execution_with_Masked_Action_Chunking.md</x:v>
      </x:c>
      <x:c r="AA19" t="n">
        <x:v>0</x:v>
      </x:c>
      <x:c r="AB19" t="str">
        <x:v>OpenAlex</x:v>
      </x:c>
      <x:c r="AC19" t="str">
        <x:v>2026-09-25</x:v>
      </x:c>
      <x:c r="AD19" t="str">
        <x:v>机器人必须实时响应，但动作块策略可能错过中途变化。</x:v>
      </x:c>
      <x:c r="AE19" t="str">
        <x:v>Unknown / Needs Full-Paper Verification</x:v>
      </x:c>
      <x:c r="AF19" t="str">
        <x:v>Unknown / Needs Full-Paper Verification</x:v>
      </x:c>
      <x:c r="AG19" t="str">
        <x:v>已核验摘要未明确说明；需查阅论文方法与实验章节。</x:v>
      </x:c>
      <x:c r="AH19" t="str">
        <x:v>Unknown / Needs Full-Paper Verification</x:v>
      </x:c>
      <x:c r="AI19" t="str">
        <x:v>Unknown / Needs Full-Paper Verification</x:v>
      </x:c>
      <x:c r="AJ19" t="str">
        <x:v>Unknown / Needs Full-Paper Verification</x:v>
      </x:c>
      <x:c r="AK19" t="str">
        <x:v>作者报告仿真与真机中执行更快，并保持任务表现；具体延迟和成功率需查论文。</x:v>
      </x:c>
      <x:c r="AL19" t="str">
        <x:v>Unknown / Needs Full-Paper Verification</x:v>
      </x:c>
      <x:c r="AM19" t="str">
        <x:v>Library Analysis / Research Note: Unknown / Needs Full-Paper Verification</x:v>
      </x:c>
      <x:c r="AN19" t="str">
        <x:v>Unknown / Needs Project-Specific Review</x:v>
      </x:c>
      <x:c r="AO19" t="str">
        <x:v>Unknown</x:v>
      </x:c>
      <x:c r="AP19" t="str">
        <x:v>B</x:v>
      </x:c>
      <x:c r="AQ19"/>
      <x:c r="AR19" t="str">
        <x:v>Unknown / Not Explicitly Reported in the currently accessible sources.</x:v>
      </x:c>
      <x:c r="AS19" t="str">
        <x:v>Unknown / Not Explicitly Reported in the currently accessible sources.</x:v>
      </x:c>
      <x:c r="AT19" t="str">
        <x:v>https://openalex.org/W7126041108</x:v>
      </x:c>
      <x:c r="AU19" t="str">
        <x:v>Unknown</x:v>
      </x:c>
      <x:c r="AV19" t="str">
        <x:v>B-Fulltext-Unavailable</x:v>
      </x:c>
      <x:c r="AW19" t="str">
        <x:v>Not Found</x:v>
      </x:c>
      <x:c r="AX19" t="str">
        <x:v>Unknown</x:v>
      </x:c>
      <x:c r="AY19" t="str">
        <x:v>Unknown</x:v>
      </x:c>
      <x:c r="AZ19" t="str">
        <x:v>https://proceedings.iclr.cc/paper_files/paper/2026/file/c35834443b7881e782e52b3519fe27c7-Paper-Conference.pdf</x:v>
      </x:c>
      <x:c r="BA19" t="str">
        <x:v>No</x:v>
      </x:c>
      <x:c r="BB19" t="str">
        <x:v>No</x:v>
      </x:c>
      <x:c r="BC19" t="str">
        <x:v>No</x:v>
      </x:c>
      <x:c r="BD19" t="str">
        <x:v>No</x:v>
      </x:c>
      <x:c r="BE19" t="str">
        <x:v>No</x:v>
      </x:c>
      <x:c r="BF19" t="str">
        <x:v>No</x:v>
      </x:c>
      <x:c r="BG19" t="str">
        <x:v>No</x:v>
      </x:c>
      <x:c r="BH19" t="str">
        <x:v>Matched</x:v>
      </x:c>
      <x:c r="BI19" t="str">
        <x:v>Not Found After Verification</x:v>
      </x:c>
      <x:c r="BJ19" t="str">
        <x:v>Not Found After Verification</x:v>
      </x:c>
      <x:c r="BK19" t="str">
        <x:v>Audit logged - deep extraction pending</x:v>
      </x:c>
      <x:c r="BL19" t="str">
        <x:v>false</x:v>
      </x:c>
      <x:c r="BM19"/>
      <x:c r="BN19" t="str">
        <x:v>研究问题：机器人必须实时响应，但动作块策略可能错过中途变化。；之前方法的问题：固定动作块执行快，却不容易及时修正已预测动作。；核心思路：REMAC 用 masked action chunking 学习对预训练策略动作的修正。；主要结果：作者报告仿真与真机中执行更快，并保持任务表现；具体延迟和成功率需查论文。；为什么重要：直接对应普通夹爪真机的实时执行与修正。；与当前项目的关系：High：可比较动作块长度、控制频率和失败恢复。；主要局限：在线修正是否产生不安全突变需在控制器层验证。</x:v>
      </x:c>
      <x:c r="BO19" t="str">
        <x:v>固定动作块执行快，却不容易及时修正已预测动作。</x:v>
      </x:c>
      <x:c r="BP19" t="str">
        <x:v>REMAC 用 masked action chunking 学习对预训练策略动作的修正。</x:v>
      </x:c>
      <x:c r="BQ19"/>
      <x:c r="BR19" t="str">
        <x:v>作者报告仿真与真机中执行更快，并保持任务表现；具体延迟和成功率需查论文。</x:v>
      </x:c>
      <x:c r="BS19" t="str">
        <x:v>直接对应普通夹爪真机的实时执行与修正。</x:v>
      </x:c>
      <x:c r="BT19" t="str">
        <x:v>在线修正是否产生不安全突变需在控制器层验证。</x:v>
      </x:c>
      <x:c r="BU19"/>
      <x:c r="BV19" t="str">
        <x:v>High：可比较动作块长度、控制频率和失败恢复。</x:v>
      </x:c>
      <x:c r="BW19" t="str">
        <x:v>官方摘要/论文页; https://proceedings.iclr.cc/paper_files/paper/2026/hash/c35834443b7881e782e52b3519fe27c7-Abstract-Conference.html; 核验于 2026-09-23. 仅为摘要级速读；原 Evidence Quality 不变。 - 核验层级：摘要有可追溯来源</x:v>
      </x:c>
      <x:c r="BX19" t="str">
        <x:v>final-title</x:v>
      </x:c>
      <x:c r="BY19" t="n">
        <x:v>0</x:v>
      </x:c>
      <x:c r="BZ19" t="n">
        <x:v>0</x:v>
      </x:c>
    </x:row>
    <x:row r="20" ht="58" customHeight="1">
      <x:c r="A20" t="str">
        <x:v>D019</x:v>
      </x:c>
      <x:c r="B20" t="str">
        <x:v>Action Chunking and Data Augmentation Yield Exponential Improvements in Behavior Cloning for Continuous Spaces</x:v>
      </x:c>
      <x:c r="C20" t="n">
        <x:v>2026</x:v>
      </x:c>
      <x:c r="D20" t="str">
        <x:v>Method Paper</x:v>
      </x:c>
      <x:c r="E20" t="str">
        <x:v>ICLR</x:v>
      </x:c>
      <x:c r="F20" t="str">
        <x:v>ICLR 2026 Conference</x:v>
      </x:c>
      <x:c r="G20" t="str">
        <x:v>A (CCF 7th edition; venue category not independently extracted from official PDF)</x:v>
      </x:c>
      <x:c r="H20" t="str">
        <x:v>Robot Manipulation / IL / Diffusion</x:v>
      </x:c>
      <x:c r="I20" t="str">
        <x:v>Action Chunking / Data Augmentation</x:v>
      </x:c>
      <x:c r="J20" t="str">
        <x:v>Imitation Learning; Action Chunking / Data Augmentation</x:v>
      </x:c>
      <x:c r="K20" t="e">
        <x:f>HYPERLINK("https://proceedings.iclr.cc/paper_files/paper/2026/hash/cd96cb9a239c37b39dbf34f3f5a4c56f-Abstract-Conference.html","论文")</x:f>
        <x:v>HYPERLINK is not implemented. linkLocation=https://proceedings.iclr.cc/paper_files/paper/2026/hash/cd96cb9a239c37b39dbf34f3f5a4c56f-Abstract-Conference.html, friendlyName=论文</x:v>
      </x:c>
      <x:c r="L20"/>
      <x:c r="M20"/>
      <x:c r="N20"/>
      <x:c r="O20" t="str">
        <x:v>Unknown</x:v>
      </x:c>
      <x:c r="P20" t="str">
        <x:v>Unknown</x:v>
      </x:c>
      <x:c r="Q20"/>
      <x:c r="R20" t="str">
        <x:v>Unknown</x:v>
      </x:c>
      <x:c r="S20" t="str">
        <x:v>Unknown</x:v>
      </x:c>
      <x:c r="T20" t="str">
        <x:v>ICLR Proceedings</x:v>
      </x:c>
      <x:c r="U20" t="str">
        <x:v>P1</x:v>
      </x:c>
      <x:c r="V20"/>
      <x:c r="W20" t="str">
        <x:v>Official Verified</x:v>
      </x:c>
      <x:c r="X20" t="str">
        <x:v>2026-09-18</x:v>
      </x:c>
      <x:c r="Y20" t="str">
        <x:v>Diffusion / Flow / IL / RL</x:v>
      </x:c>
      <x:c r="Z20" t="str">
        <x:v>02_Papers/06_Diffusion_Flow_IL_RL/Action_Chunking_and_Data_Augmentation_Yield_Exponential_Improvements_in_Behavior_Cloning_f.md</x:v>
      </x:c>
      <x:c r="AA20" t="str">
        <x:v>—</x:v>
      </x:c>
      <x:c r="AB20" t="str">
        <x:v>未可靠匹配</x:v>
      </x:c>
      <x:c r="AC20" t="str">
        <x:v>2026-09-25</x:v>
      </x:c>
      <x:c r="AD20" t="str">
        <x:v>模仿学习的单步误差会在长轨迹中不断积累。</x:v>
      </x:c>
      <x:c r="AE20" t="str">
        <x:v>Unknown / Needs Full-Paper Verification</x:v>
      </x:c>
      <x:c r="AF20" t="str">
        <x:v>Unknown / Needs Full-Paper Verification</x:v>
      </x:c>
      <x:c r="AG20" t="str">
        <x:v>已核验摘要未明确说明；需查阅论文方法与实验章节。</x:v>
      </x:c>
      <x:c r="AH20" t="str">
        <x:v>Unknown / Needs Full-Paper Verification</x:v>
      </x:c>
      <x:c r="AI20" t="str">
        <x:v>Unknown / Needs Full-Paper Verification</x:v>
      </x:c>
      <x:c r="AJ20" t="str">
        <x:v>Unknown / Needs Full-Paper Verification</x:v>
      </x:c>
      <x:c r="AK20" t="str">
        <x:v>作者报告理论分析能解释误差积累与这些训练措施的作用；具体界限与实验数字见原文。</x:v>
      </x:c>
      <x:c r="AL20" t="str">
        <x:v>Unknown / Needs Full-Paper Verification</x:v>
      </x:c>
      <x:c r="AM20" t="str">
        <x:v>Library Analysis / Research Note: Unknown / Needs Full-Paper Verification</x:v>
      </x:c>
      <x:c r="AN20" t="str">
        <x:v>Unknown / Needs Project-Specific Review</x:v>
      </x:c>
      <x:c r="AO20" t="str">
        <x:v>Unknown</x:v>
      </x:c>
      <x:c r="AP20" t="str">
        <x:v>B</x:v>
      </x:c>
      <x:c r="AQ20"/>
      <x:c r="AR20" t="str">
        <x:v>Unknown / Not Explicitly Reported in the currently accessible sources.</x:v>
      </x:c>
      <x:c r="AS20" t="str">
        <x:v>Unknown / Not Explicitly Reported in the currently accessible sources.</x:v>
      </x:c>
      <x:c r="AT20" t="str">
        <x:v>—</x:v>
      </x:c>
      <x:c r="AU20" t="str">
        <x:v>Unknown</x:v>
      </x:c>
      <x:c r="AV20" t="str">
        <x:v>B-Fulltext-Unavailable</x:v>
      </x:c>
      <x:c r="AW20" t="str">
        <x:v>Not Found</x:v>
      </x:c>
      <x:c r="AX20" t="str">
        <x:v>Unknown</x:v>
      </x:c>
      <x:c r="AY20" t="str">
        <x:v>Unknown</x:v>
      </x:c>
      <x:c r="AZ20" t="str">
        <x:v>https://proceedings.iclr.cc/paper_files/paper/2026/file/cd96cb9a239c37b39dbf34f3f5a4c56f-Paper-Conference.pdf</x:v>
      </x:c>
      <x:c r="BA20" t="str">
        <x:v>No</x:v>
      </x:c>
      <x:c r="BB20" t="str">
        <x:v>No</x:v>
      </x:c>
      <x:c r="BC20" t="str">
        <x:v>No</x:v>
      </x:c>
      <x:c r="BD20" t="str">
        <x:v>No</x:v>
      </x:c>
      <x:c r="BE20" t="str">
        <x:v>No</x:v>
      </x:c>
      <x:c r="BF20" t="str">
        <x:v>No</x:v>
      </x:c>
      <x:c r="BG20" t="str">
        <x:v>No</x:v>
      </x:c>
      <x:c r="BH20" t="str">
        <x:v>Unresolved</x:v>
      </x:c>
      <x:c r="BI20" t="str">
        <x:v>Not Found After Verification</x:v>
      </x:c>
      <x:c r="BJ20" t="str">
        <x:v>Not Found After Verification</x:v>
      </x:c>
      <x:c r="BK20" t="str">
        <x:v>Audit logged - deep extraction pending</x:v>
      </x:c>
      <x:c r="BL20" t="str">
        <x:v>false</x:v>
      </x:c>
      <x:c r="BM20"/>
      <x:c r="BN20" t="str">
        <x:v>研究问题：模仿学习的单步误差会在长轨迹中不断积累。；之前方法的问题：需要解释 Action Chunk 与数据增强为何能改善行为克隆，而不只看经验结果。；核心思路：用控制理论分析动作块和数据增强对误差传播的影响，并给出相应实验。；主要结果：作者报告理论分析能解释误差积累与这些训练措施的作用；具体界限与实验数字见原文。；为什么重要：为选择动作块长度和数据增强方式提供理论背景。；与当前项目的关系：High：双臂长任务的误差积累需要明确评测。；主要局限：理论假设与真机接触、感知噪声之间的差距需核对。</x:v>
      </x:c>
      <x:c r="BO20" t="str">
        <x:v>需要解释 Action Chunk 与数据增强为何能改善行为克隆，而不只看经验结果。</x:v>
      </x:c>
      <x:c r="BP20" t="str">
        <x:v>用控制理论分析动作块和数据增强对误差传播的影响，并给出相应实验。</x:v>
      </x:c>
      <x:c r="BQ20"/>
      <x:c r="BR20" t="str">
        <x:v>作者报告理论分析能解释误差积累与这些训练措施的作用；具体界限与实验数字见原文。</x:v>
      </x:c>
      <x:c r="BS20" t="str">
        <x:v>为选择动作块长度和数据增强方式提供理论背景。</x:v>
      </x:c>
      <x:c r="BT20" t="str">
        <x:v>理论假设与真机接触、感知噪声之间的差距需核对。</x:v>
      </x:c>
      <x:c r="BU20"/>
      <x:c r="BV20" t="str">
        <x:v>High：双臂长任务的误差积累需要明确评测。</x:v>
      </x:c>
      <x:c r="BW20" t="str">
        <x:v>官方摘要/论文页; https://proceedings.iclr.cc/paper_files/paper/2026/hash/cd96cb9a239c37b39dbf34f3f5a4c56f-Abstract-Conference.html; 核验于 2026-09-23. 仅为摘要级速读；原 Evidence Quality 不变。 - 核验层级：摘要有可追溯来源</x:v>
      </x:c>
      <x:c r="BX20" t="str">
        <x:v>Unresolved; no reliable citation service count</x:v>
      </x:c>
      <x:c r="BY20" t="n">
        <x:v>0</x:v>
      </x:c>
      <x:c r="BZ20" t="n">
        <x:v>0</x:v>
      </x:c>
    </x:row>
    <x:row r="21" ht="58" customHeight="1">
      <x:c r="A21" t="str">
        <x:v>D020</x:v>
      </x:c>
      <x:c r="B21" t="str">
        <x:v>Learning Diffusion Policy from Primitive Skills for Robot Manipulation</x:v>
      </x:c>
      <x:c r="C21" t="n">
        <x:v>2026</x:v>
      </x:c>
      <x:c r="D21" t="str">
        <x:v>Method Paper</x:v>
      </x:c>
      <x:c r="E21" t="str">
        <x:v>AAAI</x:v>
      </x:c>
      <x:c r="F21" t="str">
        <x:v>AAAI 2026 Technical Track</x:v>
      </x:c>
      <x:c r="G21" t="str">
        <x:v>A (CCF 7th edition; venue category not independently extracted from official PDF)</x:v>
      </x:c>
      <x:c r="H21" t="str">
        <x:v>Robot Manipulation / IL / Diffusion</x:v>
      </x:c>
      <x:c r="I21" t="str">
        <x:v>Diffusion Policy / Primitive Skills</x:v>
      </x:c>
      <x:c r="J21" t="str">
        <x:v>Robot Manipulation; Diffusion Policy / Primitive Skills</x:v>
      </x:c>
      <x:c r="K21" t="e">
        <x:f>HYPERLINK("https://ojs.aaai.org/index.php/AAAI/article/view/38889","论文")</x:f>
        <x:v>HYPERLINK is not implemented. linkLocation=https://ojs.aaai.org/index.php/AAAI/article/view/38889, friendlyName=论文</x:v>
      </x:c>
      <x:c r="L21"/>
      <x:c r="M21"/>
      <x:c r="N21"/>
      <x:c r="O21" t="str">
        <x:v>Unknown</x:v>
      </x:c>
      <x:c r="P21" t="str">
        <x:v>Unknown</x:v>
      </x:c>
      <x:c r="Q21"/>
      <x:c r="R21" t="str">
        <x:v>Mixed</x:v>
      </x:c>
      <x:c r="S21" t="str">
        <x:v>Parallel Gripper</x:v>
      </x:c>
      <x:c r="T21" t="str">
        <x:v>AAAI Proceedings</x:v>
      </x:c>
      <x:c r="U21" t="str">
        <x:v>P1</x:v>
      </x:c>
      <x:c r="V21" t="str">
        <x:v>AAAI-26 intelligent robotics track; abstract reports simulation and real-world deployment.</x:v>
      </x:c>
      <x:c r="W21" t="str">
        <x:v>Official Verified</x:v>
      </x:c>
      <x:c r="X21" t="str">
        <x:v>2026-09-18</x:v>
      </x:c>
      <x:c r="Y21" t="str">
        <x:v>Diffusion / Flow / IL / RL</x:v>
      </x:c>
      <x:c r="Z21" t="str">
        <x:v>02_Papers/06_Diffusion_Flow_IL_RL/Learning_Diffusion_Policy_from_Primitive_Skills_for_Robot_Manipulation.md</x:v>
      </x:c>
      <x:c r="AA21" t="n">
        <x:v>0</x:v>
      </x:c>
      <x:c r="AB21" t="str">
        <x:v>OpenAlex</x:v>
      </x:c>
      <x:c r="AC21" t="str">
        <x:v>2026-09-25</x:v>
      </x:c>
      <x:c r="AD21" t="str">
        <x:v>长任务的高层指令与短时动作之间容易出现不一致。</x:v>
      </x:c>
      <x:c r="AE21" t="str">
        <x:v>Unknown / Needs Full-Paper Verification</x:v>
      </x:c>
      <x:c r="AF21" t="str">
        <x:v>以 `Robot Manipulation; Diffusion Policy / Primitive Skills` 为主要方法/能力线索；更细的结构和消融结论待正文核验。</x:v>
      </x:c>
      <x:c r="AG21" t="str">
        <x:v>两项仿真 benchmark 与真机操作评测。</x:v>
      </x:c>
      <x:c r="AH21" t="str">
        <x:v>Unknown / Needs Full-Paper Verification</x:v>
      </x:c>
      <x:c r="AI21" t="str">
        <x:v>- 官方题名与元数据已确认；具体表述待补读官方摘要或正文。</x:v>
      </x:c>
      <x:c r="AJ21" t="str">
        <x:v>Real Robot 字段为 `Mixed`；Dataset、Benchmark、Robot Platform 中的 Unknown 继续保留，不从题名推断。</x:v>
      </x:c>
      <x:c r="AK21" t="str">
        <x:v>AAAI 摘要报告在两项仿真 benchmark 和真机任务中优于所比较方法；未给统一量化值。</x:v>
      </x:c>
      <x:c r="AL21" t="str">
        <x:v>Unknown / Needs Full-Paper Verification</x:v>
      </x:c>
      <x:c r="AM21" t="str">
        <x:v>Library Analysis / Research Note: Unknown / Needs Full-Paper Verification</x:v>
      </x:c>
      <x:c r="AN21" t="str">
        <x:v>** 与机器人操作、模仿学习或策略泛化相关；是否进入 L2/L3 取决于与双臂普通夹爪平台的可迁移性。</x:v>
      </x:c>
      <x:c r="AO21" t="str">
        <x:v>Robot Manipulation; Diffusion Policy / Primitive Skills</x:v>
      </x:c>
      <x:c r="AP21" t="str">
        <x:v>B</x:v>
      </x:c>
      <x:c r="AQ21"/>
      <x:c r="AR21" t="str">
        <x:v>Unknown / Not Explicitly Reported in the currently accessible sources.</x:v>
      </x:c>
      <x:c r="AS21" t="str">
        <x:v>Unknown / Not Explicitly Reported in the currently accessible sources.</x:v>
      </x:c>
      <x:c r="AT21" t="str">
        <x:v>https://openalex.org/W7138268695</x:v>
      </x:c>
      <x:c r="AU21" t="str">
        <x:v>https://ojs.aaai.org/index.php/AAAI/article/view/38889；官方摘要/论文集元数据</x:v>
      </x:c>
      <x:c r="AV21" t="str">
        <x:v>B-Fulltext-Unavailable</x:v>
      </x:c>
      <x:c r="AW21" t="str">
        <x:v>Not Found</x:v>
      </x:c>
      <x:c r="AX21" t="str">
        <x:v>Unknown</x:v>
      </x:c>
      <x:c r="AY21" t="str">
        <x:v>Unknown</x:v>
      </x:c>
      <x:c r="AZ21" t="str">
        <x:v>https://ojs.aaai.org/index.php/AAAI/article/download/38889/42851</x:v>
      </x:c>
      <x:c r="BA21" t="str">
        <x:v>No</x:v>
      </x:c>
      <x:c r="BB21" t="str">
        <x:v>No</x:v>
      </x:c>
      <x:c r="BC21" t="str">
        <x:v>No</x:v>
      </x:c>
      <x:c r="BD21" t="str">
        <x:v>No</x:v>
      </x:c>
      <x:c r="BE21" t="str">
        <x:v>No</x:v>
      </x:c>
      <x:c r="BF21" t="str">
        <x:v>No</x:v>
      </x:c>
      <x:c r="BG21" t="str">
        <x:v>No</x:v>
      </x:c>
      <x:c r="BH21" t="str">
        <x:v>Matched</x:v>
      </x:c>
      <x:c r="BI21" t="str">
        <x:v>Not Found After Verification</x:v>
      </x:c>
      <x:c r="BJ21" t="str">
        <x:v>Not Found After Verification</x:v>
      </x:c>
      <x:c r="BK21" t="str">
        <x:v>Audit logged - deep extraction pending</x:v>
      </x:c>
      <x:c r="BL21" t="str">
        <x:v>false</x:v>
      </x:c>
      <x:c r="BM21"/>
      <x:c r="BN21" t="str">
        <x:v>研究问题：长任务的高层指令与短时动作之间容易出现不一致。；之前方法的问题：只用全局指令条件化扩散策略，难以保证每段动作符合当前小技能。；核心思路：SDP 把复杂任务拆成八种 primitive skills，用 VLM 提取离散状态表示，再由轻量 router 选择技能条件化扩散策略。；输入：官方摘要给出任务/数据类型；具体模型张量与接口需核对方法章节。；输出与动作：官方摘要未明确列出完整控制接口；需核对论文方法或代码。；数据集与评测基准：两项仿真 benchmark 与真机操作评测。；主要结果：AAAI 摘要报告在两项仿真 benchmark 和真机任务中优于所比较方法；未给统一量化值。；为什么重要：可作为“高层技能调度 + 低层动作生成”的双臂基线。；与当前项目的关系：Medium：方法可借鉴，但迁移到当前双臂硬件需验证。；主要局限：本段基于官方摘要；未覆盖全文失败案例、完整 Baseline 与方法消融。</x:v>
      </x:c>
      <x:c r="BO21" t="str">
        <x:v>只用全局指令条件化扩散策略，难以保证每段动作符合当前小技能。</x:v>
      </x:c>
      <x:c r="BP21" t="str">
        <x:v>SDP 把复杂任务拆成八种 primitive skills，用 VLM 提取离散状态表示，再由轻量 router 选择技能条件化扩散策略。</x:v>
      </x:c>
      <x:c r="BQ21"/>
      <x:c r="BR21" t="str">
        <x:v>AAAI 摘要报告在两项仿真 benchmark 和真机任务中优于所比较方法；未给统一量化值。</x:v>
      </x:c>
      <x:c r="BS21" t="str">
        <x:v>可作为“高层技能调度 + 低层动作生成”的双臂基线。</x:v>
      </x:c>
      <x:c r="BT21" t="str">
        <x:v>本段基于官方摘要；未覆盖全文失败案例、完整 Baseline 与方法消融。</x:v>
      </x:c>
      <x:c r="BU21"/>
      <x:c r="BV21" t="str">
        <x:v>Medium：方法可借鉴，但迁移到当前双臂硬件需验证。</x:v>
      </x:c>
      <x:c r="BW21" t="str">
        <x:v>官方摘要/论文页：https://ojs.aaai.org/index.php/AAAI/article/view/38889；核验于 2026-09-23。仅为摘要级速读，原 Evidence Quality 不变。 - 核验层级：摘要有可追溯来源</x:v>
      </x:c>
      <x:c r="BX21" t="str">
        <x:v>title</x:v>
      </x:c>
      <x:c r="BY21" t="n">
        <x:v>0</x:v>
      </x:c>
      <x:c r="BZ21" t="n">
        <x:v>0</x:v>
      </x:c>
    </x:row>
    <x:row r="22" ht="58" customHeight="1">
      <x:c r="A22" t="str">
        <x:v>D021</x:v>
      </x:c>
      <x:c r="B22" t="str">
        <x:v>FoAM: Foresight-Augmented Multi-Task Imitation Policy for Robotic Manipulation</x:v>
      </x:c>
      <x:c r="C22" t="n">
        <x:v>2026</x:v>
      </x:c>
      <x:c r="D22" t="str">
        <x:v>Method Paper</x:v>
      </x:c>
      <x:c r="E22" t="str">
        <x:v>AAAI</x:v>
      </x:c>
      <x:c r="F22" t="str">
        <x:v>AAAI 2026 Technical Track</x:v>
      </x:c>
      <x:c r="G22" t="str">
        <x:v>A (CCF 7th edition; venue category not independently extracted from official PDF)</x:v>
      </x:c>
      <x:c r="H22" t="str">
        <x:v>Robot Manipulation / IL / Diffusion</x:v>
      </x:c>
      <x:c r="I22" t="str">
        <x:v>Multi-Task / Foresight</x:v>
      </x:c>
      <x:c r="J22" t="str">
        <x:v>Imitation Learning; Multi-Task / Foresight</x:v>
      </x:c>
      <x:c r="K22" t="e">
        <x:f>HYPERLINK("https://ojs.aaai.org/index.php/AAAI/article/view/38911","论文")</x:f>
        <x:v>HYPERLINK is not implemented. linkLocation=https://ojs.aaai.org/index.php/AAAI/article/view/38911, friendlyName=论文</x:v>
      </x:c>
      <x:c r="L22"/>
      <x:c r="M22"/>
      <x:c r="N22"/>
      <x:c r="O22" t="str">
        <x:v>Unknown</x:v>
      </x:c>
      <x:c r="P22" t="str">
        <x:v>Unknown</x:v>
      </x:c>
      <x:c r="Q22"/>
      <x:c r="R22" t="str">
        <x:v>Mixed</x:v>
      </x:c>
      <x:c r="S22" t="str">
        <x:v>Parallel Gripper</x:v>
      </x:c>
      <x:c r="T22" t="str">
        <x:v>AAAI Proceedings</x:v>
      </x:c>
      <x:c r="U22" t="str">
        <x:v>P1</x:v>
      </x:c>
      <x:c r="V22" t="str">
        <x:v>Abstract reports 100+ tasks in simulation and real-world; simulation suite released.</x:v>
      </x:c>
      <x:c r="W22" t="str">
        <x:v>Official Verified</x:v>
      </x:c>
      <x:c r="X22" t="str">
        <x:v>2026-09-18</x:v>
      </x:c>
      <x:c r="Y22" t="str">
        <x:v>Diffusion / Flow / IL / RL</x:v>
      </x:c>
      <x:c r="Z22" t="str">
        <x:v>02_Papers/06_Diffusion_Flow_IL_RL/FoAM.md</x:v>
      </x:c>
      <x:c r="AA22" t="n">
        <x:v>0</x:v>
      </x:c>
      <x:c r="AB22" t="str">
        <x:v>OpenAlex</x:v>
      </x:c>
      <x:c r="AC22" t="str">
        <x:v>2026-09-25</x:v>
      </x:c>
      <x:c r="AD22" t="str">
        <x:v>多任务模仿学习策略需要可靠动作，也需要用少量示范适应未见任务。</x:v>
      </x:c>
      <x:c r="AE22" t="str">
        <x:v>Unknown / Needs Full-Paper Verification</x:v>
      </x:c>
      <x:c r="AF22" t="str">
        <x:v>以 `Imitation Learning; Multi-Task / Foresight` 为主要方法/能力线索；更细的结构和消融结论待正文核验。</x:v>
      </x:c>
      <x:c r="AG22" t="str">
        <x:v>超过 100 项仿真/真机任务；官方发布的仿真任务套件。</x:v>
      </x:c>
      <x:c r="AH22" t="str">
        <x:v>Unknown / Needs Full-Paper Verification</x:v>
      </x:c>
      <x:c r="AI22" t="str">
        <x:v>- 官方题名与元数据已确认；具体表述待补读官方摘要或正文。</x:v>
      </x:c>
      <x:c r="AJ22" t="str">
        <x:v>Real Robot 字段为 `Mixed`；Dataset、Benchmark、Robot Platform 中的 Unknown 继续保留，不从题名推断。</x:v>
      </x:c>
      <x:c r="AK22" t="str">
        <x:v>AAAI 摘要报告仿真与真机超过 100 项任务，成功率相对基线最高提升 41%；另发布 80 多项仿真任务。</x:v>
      </x:c>
      <x:c r="AL22" t="str">
        <x:v>Unknown / Needs Full-Paper Verification</x:v>
      </x:c>
      <x:c r="AM22" t="str">
        <x:v>Library Analysis / Research Note: Unknown / Needs Full-Paper Verification</x:v>
      </x:c>
      <x:c r="AN22" t="str">
        <x:v>** 与机器人操作、模仿学习或策略泛化相关；是否进入 L2/L3 取决于与双臂普通夹爪平台的可迁移性。</x:v>
      </x:c>
      <x:c r="AO22" t="str">
        <x:v>Imitation Learning; Multi-Task / Foresight</x:v>
      </x:c>
      <x:c r="AP22" t="str">
        <x:v>B</x:v>
      </x:c>
      <x:c r="AQ22"/>
      <x:c r="AR22" t="str">
        <x:v>Unknown / Not Explicitly Reported in the currently accessible sources.</x:v>
      </x:c>
      <x:c r="AS22" t="str">
        <x:v>Unknown / Not Explicitly Reported in the currently accessible sources.</x:v>
      </x:c>
      <x:c r="AT22" t="str">
        <x:v>https://openalex.org/W7138377383</x:v>
      </x:c>
      <x:c r="AU22" t="str">
        <x:v>https://ojs.aaai.org/index.php/AAAI/article/view/38911；官方摘要/论文集元数据</x:v>
      </x:c>
      <x:c r="AV22" t="str">
        <x:v>B-Fulltext-Unavailable</x:v>
      </x:c>
      <x:c r="AW22" t="str">
        <x:v>Not Found</x:v>
      </x:c>
      <x:c r="AX22" t="str">
        <x:v>Unknown</x:v>
      </x:c>
      <x:c r="AY22" t="str">
        <x:v>Unknown</x:v>
      </x:c>
      <x:c r="AZ22" t="str">
        <x:v>https://ojs.aaai.org/index.php/AAAI/article/download/38911/42873</x:v>
      </x:c>
      <x:c r="BA22" t="str">
        <x:v>No</x:v>
      </x:c>
      <x:c r="BB22" t="str">
        <x:v>No</x:v>
      </x:c>
      <x:c r="BC22" t="str">
        <x:v>No</x:v>
      </x:c>
      <x:c r="BD22" t="str">
        <x:v>No</x:v>
      </x:c>
      <x:c r="BE22" t="str">
        <x:v>No</x:v>
      </x:c>
      <x:c r="BF22" t="str">
        <x:v>No</x:v>
      </x:c>
      <x:c r="BG22" t="str">
        <x:v>No</x:v>
      </x:c>
      <x:c r="BH22" t="str">
        <x:v>Matched</x:v>
      </x:c>
      <x:c r="BI22" t="str">
        <x:v>Not Found After Verification</x:v>
      </x:c>
      <x:c r="BJ22" t="str">
        <x:v>Not Found After Verification</x:v>
      </x:c>
      <x:c r="BK22" t="str">
        <x:v>Audit logged - deep extraction pending</x:v>
      </x:c>
      <x:c r="BL22" t="str">
        <x:v>false</x:v>
      </x:c>
      <x:c r="BM22"/>
      <x:c r="BN22" t="str">
        <x:v>研究问题：多任务模仿学习策略需要可靠动作，也需要用少量示范适应未见任务。；之前方法的问题：只根据当前状态重建动作，可能缺少对动作视觉后果的预测。；核心思路：FoAM 输入多模态目标，在动作重建之外加入 foresight augmentation，让策略利用预期视觉结果。；输入：官方摘要给出任务/数据类型；具体模型张量与接口需核对方法章节。；输出与动作：官方摘要未明确列出完整控制接口；需核对论文方法或代码。；数据集与评测基准：超过 100 项仿真/真机任务；官方发布的仿真任务套件。；主要结果：AAAI 摘要报告仿真与真机超过 100 项任务，成功率相对基线最高提升 41%；另发布 80 多项仿真任务。；为什么重要：可比较“预见动作后果”是否帮助双臂动作前验证。；与当前项目的关系：Medium：方法可借鉴，但迁移到当前双臂硬件需验证。；主要局限：本段基于官方摘要；未覆盖全文失败案例、完整 Baseline 与方法消融。</x:v>
      </x:c>
      <x:c r="BO22" t="str">
        <x:v>只根据当前状态重建动作，可能缺少对动作视觉后果的预测。</x:v>
      </x:c>
      <x:c r="BP22" t="str">
        <x:v>FoAM 输入多模态目标，在动作重建之外加入 foresight augmentation，让策略利用预期视觉结果。</x:v>
      </x:c>
      <x:c r="BQ22"/>
      <x:c r="BR22" t="str">
        <x:v>AAAI 摘要报告仿真与真机超过 100 项任务，成功率相对基线最高提升 41%；另发布 80 多项仿真任务。</x:v>
      </x:c>
      <x:c r="BS22" t="str">
        <x:v>可比较“预见动作后果”是否帮助双臂动作前验证。</x:v>
      </x:c>
      <x:c r="BT22" t="str">
        <x:v>本段基于官方摘要；未覆盖全文失败案例、完整 Baseline 与方法消融。</x:v>
      </x:c>
      <x:c r="BU22"/>
      <x:c r="BV22" t="str">
        <x:v>Medium：方法可借鉴，但迁移到当前双臂硬件需验证。</x:v>
      </x:c>
      <x:c r="BW22" t="str">
        <x:v>官方摘要/论文页：https://ojs.aaai.org/index.php/AAAI/article/view/38911；核验于 2026-09-23。仅为摘要级速读，原 Evidence Quality 不变。 - 核验层级：摘要有可追溯来源</x:v>
      </x:c>
      <x:c r="BX22" t="str">
        <x:v>final-pdf-author</x:v>
      </x:c>
      <x:c r="BY22" t="n">
        <x:v>0</x:v>
      </x:c>
      <x:c r="BZ22" t="n">
        <x:v>1</x:v>
      </x:c>
    </x:row>
    <x:row r="23" ht="58" customHeight="1">
      <x:c r="A23" t="str">
        <x:v>D022</x:v>
      </x:c>
      <x:c r="B23" t="str">
        <x:v>Gentle Manipulation Policy Learning via Demonstrations from VLM Planned Atomic Skills</x:v>
      </x:c>
      <x:c r="C23" t="n">
        <x:v>2026</x:v>
      </x:c>
      <x:c r="D23" t="str">
        <x:v>Method Paper</x:v>
      </x:c>
      <x:c r="E23" t="str">
        <x:v>AAAI</x:v>
      </x:c>
      <x:c r="F23" t="str">
        <x:v>AAAI 2026 Technical Track</x:v>
      </x:c>
      <x:c r="G23" t="str">
        <x:v>A (CCF 7th edition; venue category not independently extracted from official PDF)</x:v>
      </x:c>
      <x:c r="H23" t="str">
        <x:v>Robot Manipulation / IL / Diffusion</x:v>
      </x:c>
      <x:c r="I23" t="str">
        <x:v>Long-Horizon / Visual-Tactile Policy</x:v>
      </x:c>
      <x:c r="J23" t="str">
        <x:v>Robot Manipulation; Long-Horizon / Visual-Tactile Policy</x:v>
      </x:c>
      <x:c r="K23" t="e">
        <x:f>HYPERLINK("https://ojs.aaai.org/index.php/AAAI/article/view/38955","论文")</x:f>
        <x:v>HYPERLINK is not implemented. linkLocation=https://ojs.aaai.org/index.php/AAAI/article/view/38955, friendlyName=论文</x:v>
      </x:c>
      <x:c r="L23"/>
      <x:c r="M23"/>
      <x:c r="N23"/>
      <x:c r="O23" t="str">
        <x:v>Unknown</x:v>
      </x:c>
      <x:c r="P23" t="str">
        <x:v>Unknown</x:v>
      </x:c>
      <x:c r="Q23"/>
      <x:c r="R23" t="str">
        <x:v>Mixed</x:v>
      </x:c>
      <x:c r="S23" t="str">
        <x:v>Parallel Gripper</x:v>
      </x:c>
      <x:c r="T23" t="str">
        <x:v>AAAI Proceedings</x:v>
      </x:c>
      <x:c r="U23" t="str">
        <x:v>P2</x:v>
      </x:c>
      <x:c r="V23" t="str">
        <x:v>Abstract reports simulation learning and physical deployment.</x:v>
      </x:c>
      <x:c r="W23" t="str">
        <x:v>Official Verified</x:v>
      </x:c>
      <x:c r="X23" t="str">
        <x:v>2026-09-18</x:v>
      </x:c>
      <x:c r="Y23" t="str">
        <x:v>Generalization / Long-Horizon</x:v>
      </x:c>
      <x:c r="Z23" t="str">
        <x:v>02_Papers/07_Generalization_LongHorizon/Gentle_Manipulation_Policy_Learning_via_Demonstrations_from_VLM_Planned_Atomic_Skills.md</x:v>
      </x:c>
      <x:c r="AA23" t="n">
        <x:v>0</x:v>
      </x:c>
      <x:c r="AB23" t="str">
        <x:v>OpenAlex</x:v>
      </x:c>
      <x:c r="AC23" t="str">
        <x:v>2026-09-25</x:v>
      </x:c>
      <x:c r="AD23" t="str">
        <x:v>长时序接触操作既要完成任务，也要避免过大接触力损伤物体。</x:v>
      </x:c>
      <x:c r="AE23" t="str">
        <x:v>Unknown / Needs Full-Paper Verification</x:v>
      </x:c>
      <x:c r="AF23" t="str">
        <x:v>以 `Robot Manipulation; Long-Hori</x:v>
      </x:c>
      <x:c r="AG23" t="str">
        <x:v>仿真与实体机器人接触操作任务。</x:v>
      </x:c>
      <x:c r="AH23" t="str">
        <x:v>Unknown / Needs Full-Paper Verification</x:v>
      </x:c>
      <x:c r="AI23" t="str">
        <x:v>- 官方题名与元数据已确认；具体表述待补读官方摘要或正文。</x:v>
      </x:c>
      <x:c r="AJ23" t="str">
        <x:v>Real Robot 字段为 `Mixed`；Dataset、Benchmark、Robot Platform 中的 Unknown 继续保留，不从题名推断。</x:v>
      </x:c>
      <x:c r="AK23" t="str">
        <x:v>AAAI 官方摘要报告仿真与实体机器人验证，并进行了规划器和蒸馏方法消融；未给统一数值。</x:v>
      </x:c>
      <x:c r="AL23" t="str">
        <x:v>Unknown / Needs Full-Paper Verification</x:v>
      </x:c>
      <x:c r="AM23" t="str">
        <x:v>Library Analysis / Research Note: Unknown / Needs Full-Paper Verification</x:v>
      </x:c>
      <x:c r="AN23" t="str">
        <x:v>** 与机器人操作、模仿学习或策略泛化相关；是否进入 L2/L3 取决于与双臂普通夹爪平台的可迁移性。</x:v>
      </x:c>
      <x:c r="AO23" t="str">
        <x:v>Robot Manipulation; Long-Horizon / Visual-Tactile Policy</x:v>
      </x:c>
      <x:c r="AP23" t="str">
        <x:v>B</x:v>
      </x:c>
      <x:c r="AQ23"/>
      <x:c r="AR23" t="str">
        <x:v>Unknown / Not Explicitly Reported in the currently accessible sources.</x:v>
      </x:c>
      <x:c r="AS23" t="str">
        <x:v>Unknown / Not Explicitly Reported in the currently accessible sources.</x:v>
      </x:c>
      <x:c r="AT23" t="str">
        <x:v>https://openalex.org/W7138167694</x:v>
      </x:c>
      <x:c r="AU23" t="str">
        <x:v>https://ojs.aaai.org/index.php/AAAI/article/view/38955；官方摘要/论文集元数据</x:v>
      </x:c>
      <x:c r="AV23" t="str">
        <x:v>B-Fulltext-Unavailable</x:v>
      </x:c>
      <x:c r="AW23" t="str">
        <x:v>Not Found</x:v>
      </x:c>
      <x:c r="AX23" t="str">
        <x:v>Unknown</x:v>
      </x:c>
      <x:c r="AY23" t="str">
        <x:v>Unknown</x:v>
      </x:c>
      <x:c r="AZ23" t="str">
        <x:v>https://ojs.aaai.org/index.php/AAAI/article/download/38955/42917</x:v>
      </x:c>
      <x:c r="BA23" t="str">
        <x:v>No</x:v>
      </x:c>
      <x:c r="BB23" t="str">
        <x:v>No</x:v>
      </x:c>
      <x:c r="BC23" t="str">
        <x:v>No</x:v>
      </x:c>
      <x:c r="BD23" t="str">
        <x:v>No</x:v>
      </x:c>
      <x:c r="BE23" t="str">
        <x:v>No</x:v>
      </x:c>
      <x:c r="BF23" t="str">
        <x:v>No</x:v>
      </x:c>
      <x:c r="BG23" t="str">
        <x:v>No</x:v>
      </x:c>
      <x:c r="BH23" t="str">
        <x:v>Matched</x:v>
      </x:c>
      <x:c r="BI23" t="str">
        <x:v>Not Found After Verification</x:v>
      </x:c>
      <x:c r="BJ23" t="str">
        <x:v>Not Found After Verification</x:v>
      </x:c>
      <x:c r="BK23" t="str">
        <x:v>Audit logged - deep extraction pending</x:v>
      </x:c>
      <x:c r="BL23" t="str">
        <x:v>false</x:v>
      </x:c>
      <x:c r="BM23"/>
      <x:c r="BN23" t="str">
        <x:v>研究问题：长时序接触操作既要完成任务，也要避免过大接触力损伤物体。；之前方法的问题：真机专家示范昂贵，分层技能和安全约束难以同时获得。；核心思路：在仿真中用带力约束的 RL 训练原子技能，再由 VLM 规划任务，最后蒸馏到视觉—触觉 Diffusion Policy。；输入：官方摘要给出任务/数据类型；具体模型张量与接口需核对方法章节。；输出与动作：官方摘要未明确列出完整控制接口；需核对论文方法或代码。；数据集与评测基准：仿真与实体机器人接触操作任务。；主要结果：AAAI 官方摘要报告仿真与实体机器人验证，并进行了规划器和蒸馏方法消融；未给统一数值。；为什么重要：为普通夹爪的接触安全和低成本技能数据生成提供参考。；与当前项目的关系：Medium：方法可借鉴，但迁移到当前双臂硬件需验证。；主要局限：本段基于官方摘要；未覆盖全文失败案例、完整 Baseline 与方法消融。</x:v>
      </x:c>
      <x:c r="BO23" t="str">
        <x:v>真机专家示范昂贵，分层技能和安全约束难以同时获得。</x:v>
      </x:c>
      <x:c r="BP23" t="str">
        <x:v>在仿真中用带力约束的 RL 训练原子技能，再由 VLM 规划任务，最后蒸馏到视觉—触觉 Diffusion Policy。</x:v>
      </x:c>
      <x:c r="BQ23"/>
      <x:c r="BR23" t="str">
        <x:v>AAAI 官方摘要报告仿真与实体机器人验证，并进行了规划器和蒸馏方法消融；未给统一数值。</x:v>
      </x:c>
      <x:c r="BS23" t="str">
        <x:v>为普通夹爪的接触安全和低成本技能数据生成提供参考。</x:v>
      </x:c>
      <x:c r="BT23" t="str">
        <x:v>本段基于官方摘要；未覆盖全文失败案例、完整 Baseline 与方法消融。</x:v>
      </x:c>
      <x:c r="BU23"/>
      <x:c r="BV23" t="str">
        <x:v>Medium：方法可借鉴，但迁移到当前双臂硬件需验证。</x:v>
      </x:c>
      <x:c r="BW23" t="str">
        <x:v>官方摘要/论文页：https://ojs.aaai.org/index.php/AAAI/article/view/38955；核验于 2026-09-23。仅为摘要级速读，原 Evidence Quality 不变。 - 核验层级：摘要有可追溯来源</x:v>
      </x:c>
      <x:c r="BX23" t="str">
        <x:v>title</x:v>
      </x:c>
      <x:c r="BY23" t="n">
        <x:v>0</x:v>
      </x:c>
      <x:c r="BZ23" t="n">
        <x:v>0</x:v>
      </x:c>
    </x:row>
    <x:row r="24" ht="58" customHeight="1">
      <x:c r="A24" t="str">
        <x:v>D023</x:v>
      </x:c>
      <x:c r="B24" t="str">
        <x:v>RGMP: Recurrent Geometric-prior Multimodal Policy for Generalizable Humanoid Robot Manipulation</x:v>
      </x:c>
      <x:c r="C24" t="n">
        <x:v>2026</x:v>
      </x:c>
      <x:c r="D24" t="str">
        <x:v>Method Paper</x:v>
      </x:c>
      <x:c r="E24" t="str">
        <x:v>AAAI</x:v>
      </x:c>
      <x:c r="F24" t="str">
        <x:v>AAAI 2026 Technical Track</x:v>
      </x:c>
      <x:c r="G24" t="str">
        <x:v>A (CCF 7th edition; venue category not independently extracted from official PDF)</x:v>
      </x:c>
      <x:c r="H24" t="str">
        <x:v>Robot Manipulation / IL / Diffusion</x:v>
      </x:c>
      <x:c r="I24" t="str">
        <x:v>Humanoid / Generalization</x:v>
      </x:c>
      <x:c r="J24" t="str">
        <x:v>Robot Manipulation; Humanoid / Generalization</x:v>
      </x:c>
      <x:c r="K24" t="e">
        <x:f>HYPERLINK("https://ojs.aaai.org/index.php/AAAI/article/view/38539","论文")</x:f>
        <x:v>HYPERLINK is not implemented. linkLocation=https://ojs.aaai.org/index.php/AAAI/article/view/38539, friendlyName=论文</x:v>
      </x:c>
      <x:c r="L24"/>
      <x:c r="M24"/>
      <x:c r="N24"/>
      <x:c r="O24" t="str">
        <x:v>Unknown</x:v>
      </x:c>
      <x:c r="P24" t="str">
        <x:v>Unknown</x:v>
      </x:c>
      <x:c r="Q24"/>
      <x:c r="R24" t="str">
        <x:v>Yes</x:v>
      </x:c>
      <x:c r="S24" t="str">
        <x:v>Humanoid Manipulation</x:v>
      </x:c>
      <x:c r="T24" t="str">
        <x:v>AAAI Proceedings</x:v>
      </x:c>
      <x:c r="U24" t="str">
        <x:v>P2</x:v>
      </x:c>
      <x:c r="V24" t="str">
        <x:v>Abstract reports humanoid and tabletop robot experiments.</x:v>
      </x:c>
      <x:c r="W24" t="str">
        <x:v>Official Verified</x:v>
      </x:c>
      <x:c r="X24" t="str">
        <x:v>2026-09-18</x:v>
      </x:c>
      <x:c r="Y24" t="str">
        <x:v>Generalization / Long-Horizon</x:v>
      </x:c>
      <x:c r="Z24" t="str">
        <x:v>02_Papers/07_Generalization_LongHorizon/RGMP.md</x:v>
      </x:c>
      <x:c r="AA24" t="n">
        <x:v>0</x:v>
      </x:c>
      <x:c r="AB24" t="str">
        <x:v>OpenAlex</x:v>
      </x:c>
      <x:c r="AC24" t="str">
        <x:v>2026-09-25</x:v>
      </x:c>
      <x:c r="AD24" t="str">
        <x:v>通用人形机器人操作常依赖大量示范，未见场景中的几何推理仍薄弱。</x:v>
      </x:c>
      <x:c r="AE24" t="str">
        <x:v>Unknown / Needs Full-Paper Verification</x:v>
      </x:c>
      <x:c r="AF24" t="str">
        <x:v>以 `Robot Manipulation; Humanoid / Generali</x:v>
      </x:c>
      <x:c r="AG24" t="str">
        <x:v>人形机器人与桌面机器人操作评测。</x:v>
      </x:c>
      <x:c r="AH24" t="str">
        <x:v>Unknown / Needs Full-Paper Verification</x:v>
      </x:c>
      <x:c r="AI24" t="str">
        <x:v>- 官方题名与元数据已确认；具体表述待补读官方摘要或正文。</x:v>
      </x:c>
      <x:c r="AJ24" t="str">
        <x:v>Real Robot 字段为 `Yes`；Dataset、Benchmark、Robot Platform 中的 Unknown 继续保留，不从题名推断。</x:v>
      </x:c>
      <x:c r="AK24" t="str">
        <x:v>AAAI 官方摘要报告泛化测试成功率 87%，数据效率约为所比较 SOTA 的 5 倍。</x:v>
      </x:c>
      <x:c r="AL24" t="str">
        <x:v>Unknown / Needs Full-Paper Verification</x:v>
      </x:c>
      <x:c r="AM24" t="str">
        <x:v>Library Analysis / Research Note: Unknown / Needs Full-Paper Verification</x:v>
      </x:c>
      <x:c r="AN24" t="str">
        <x:v>** 与机器人操作、模仿学习或策略泛化相关；是否进入 L2/L3 取决于与双臂普通夹爪平台的可迁移性。</x:v>
      </x:c>
      <x:c r="AO24" t="str">
        <x:v>Robot Manipulation; Humanoid / Generalization</x:v>
      </x:c>
      <x:c r="AP24" t="str">
        <x:v>B</x:v>
      </x:c>
      <x:c r="AQ24"/>
      <x:c r="AR24" t="str">
        <x:v>Unknown / Not Explicitly Reported in the currently accessible sources.</x:v>
      </x:c>
      <x:c r="AS24" t="str">
        <x:v>Unknown / Not Explicitly Reported in the currently accessible sources.</x:v>
      </x:c>
      <x:c r="AT24" t="str">
        <x:v>https://openalex.org/W4416716605</x:v>
      </x:c>
      <x:c r="AU24" t="str">
        <x:v>https://ojs.aaai.org/index.php/AAAI/article/view/38539；官方摘要/论文集元数据</x:v>
      </x:c>
      <x:c r="AV24" t="str">
        <x:v>B-Fulltext-Unavailable</x:v>
      </x:c>
      <x:c r="AW24" t="str">
        <x:v>Not Found</x:v>
      </x:c>
      <x:c r="AX24" t="str">
        <x:v>Unknown</x:v>
      </x:c>
      <x:c r="AY24" t="str">
        <x:v>Unknown</x:v>
      </x:c>
      <x:c r="AZ24" t="str">
        <x:v>https://ojs.aaai.org/index.php/AAAI/article/download/38539/42501</x:v>
      </x:c>
      <x:c r="BA24" t="str">
        <x:v>No</x:v>
      </x:c>
      <x:c r="BB24" t="str">
        <x:v>No</x:v>
      </x:c>
      <x:c r="BC24" t="str">
        <x:v>No</x:v>
      </x:c>
      <x:c r="BD24" t="str">
        <x:v>No</x:v>
      </x:c>
      <x:c r="BE24" t="str">
        <x:v>No</x:v>
      </x:c>
      <x:c r="BF24" t="str">
        <x:v>No</x:v>
      </x:c>
      <x:c r="BG24" t="str">
        <x:v>No</x:v>
      </x:c>
      <x:c r="BH24" t="str">
        <x:v>Matched</x:v>
      </x:c>
      <x:c r="BI24" t="str">
        <x:v>Not Found After Verification</x:v>
      </x:c>
      <x:c r="BJ24" t="str">
        <x:v>Not Found After Verification</x:v>
      </x:c>
      <x:c r="BK24" t="str">
        <x:v>Audit logged - deep extraction pending</x:v>
      </x:c>
      <x:c r="BL24" t="str">
        <x:v>false</x:v>
      </x:c>
      <x:c r="BM24"/>
      <x:c r="BN24" t="str">
        <x:v>研究问题：通用人形机器人操作常依赖大量示范，未见场景中的几何推理仍薄弱。；之前方法的问题：单纯数据驱动策略难以高效建模机器人与目标之间的空间关系。；核心思路：RGMP 用带几何先验的技能选择器推理子任务，再用递归 Gaussian 网络生成动作。；输入：官方摘要给出任务/数据类型；具体模型张量与接口需核对方法章节。；输出与动作：官方摘要未明确列出完整控制接口；需核对论文方法或代码。；数据集与评测基准：人形机器人与桌面机器人操作评测。；主要结果：AAAI 官方摘要报告泛化测试成功率 87%，数据效率约为所比较 SOTA 的 5 倍。；为什么重要：可启发双臂任务的几何关系表示，但硬件差异需要单独验证。；与当前项目的关系：Medium：方法可借鉴，但迁移到当前双臂硬件需验证。；主要局限：本段基于官方摘要；未覆盖全文失败案例、完整 Baseline 与方法消融。</x:v>
      </x:c>
      <x:c r="BO24" t="str">
        <x:v>单纯数据驱动策略难以高效建模机器人与目标之间的空间关系。</x:v>
      </x:c>
      <x:c r="BP24" t="str">
        <x:v>RGMP 用带几何先验的技能选择器推理子任务，再用递归 Gaussian 网络生成动作。</x:v>
      </x:c>
      <x:c r="BQ24"/>
      <x:c r="BR24" t="str">
        <x:v>AAAI 官方摘要报告泛化测试成功率 87%，数据效率约为所比较 SOTA 的 5 倍。</x:v>
      </x:c>
      <x:c r="BS24" t="str">
        <x:v>可启发双臂任务的几何关系表示，但硬件差异需要单独验证。</x:v>
      </x:c>
      <x:c r="BT24" t="str">
        <x:v>本段基于官方摘要；未覆盖全文失败案例、完整 Baseline 与方法消融。</x:v>
      </x:c>
      <x:c r="BU24"/>
      <x:c r="BV24" t="str">
        <x:v>Medium：方法可借鉴，但迁移到当前双臂硬件需验证。</x:v>
      </x:c>
      <x:c r="BW24" t="str">
        <x:v>官方摘要/论文页：https://ojs.aaai.org/index.php/AAAI/article/view/38539；核验于 2026-09-23。仅为摘要级速读，原 Evidence Quality 不变。 - 核验层级：摘要有可追溯来源</x:v>
      </x:c>
      <x:c r="BX24" t="str">
        <x:v>final-title</x:v>
      </x:c>
      <x:c r="BY24" t="n">
        <x:v>0</x:v>
      </x:c>
      <x:c r="BZ24" t="n">
        <x:v>0</x:v>
      </x:c>
    </x:row>
    <x:row r="25" ht="58" customHeight="1">
      <x:c r="A25" t="str">
        <x:v>D024</x:v>
      </x:c>
      <x:c r="B25" t="str">
        <x:v>Learning Object-Centric Motion Priors from Human for Robotic Dexterous Manipulation</x:v>
      </x:c>
      <x:c r="C25" t="n">
        <x:v>2026</x:v>
      </x:c>
      <x:c r="D25" t="str">
        <x:v>Method Paper</x:v>
      </x:c>
      <x:c r="E25" t="str">
        <x:v>AAAI</x:v>
      </x:c>
      <x:c r="F25" t="str">
        <x:v>AAAI 2026 Proceedings</x:v>
      </x:c>
      <x:c r="G25" t="str">
        <x:v>A (CCF 7th edition; venue category not independently extracted from official PDF)</x:v>
      </x:c>
      <x:c r="H25" t="str">
        <x:v>Dexterous Hand / Dexterous Manipulation</x:v>
      </x:c>
      <x:c r="I25" t="str">
        <x:v>Human Demonstrations / Motion Prior</x:v>
      </x:c>
      <x:c r="J25" t="str">
        <x:v>Dexterous Manipulation; Human Demonstrations / Motion Prior</x:v>
      </x:c>
      <x:c r="K25" t="e">
        <x:f>HYPERLINK("https://ojs.aaai.org/index.php/AAAI/article/download/38892/42854","论文")</x:f>
        <x:v>HYPERLINK is not implemented. linkLocation=https://ojs.aaai.org/index.php/AAAI/article/download/38892/42854, friendlyName=论文</x:v>
      </x:c>
      <x:c r="L25"/>
      <x:c r="M25"/>
      <x:c r="N25"/>
      <x:c r="O25" t="str">
        <x:v>Unknown</x:v>
      </x:c>
      <x:c r="P25" t="str">
        <x:v>Unknown</x:v>
      </x:c>
      <x:c r="Q25"/>
      <x:c r="R25" t="str">
        <x:v>Unknown</x:v>
      </x:c>
      <x:c r="S25" t="str">
        <x:v>Dexterous Hand</x:v>
      </x:c>
      <x:c r="T25" t="str">
        <x:v>AAAI Proceedings</x:v>
      </x:c>
      <x:c r="U25" t="str">
        <x:v>P2</x:v>
      </x:c>
      <x:c r="V25"/>
      <x:c r="W25" t="str">
        <x:v>Official Verified</x:v>
      </x:c>
      <x:c r="X25" t="str">
        <x:v>2026-09-18</x:v>
      </x:c>
      <x:c r="Y25" t="str">
        <x:v>Dexterous</x:v>
      </x:c>
      <x:c r="Z25" t="str">
        <x:v>02_Papers/04_Dexterous/Learning_Object-Centric_Motion_Priors_from_Human_for_Robotic_Dexterous_Manipulation.md</x:v>
      </x:c>
      <x:c r="AA25" t="n">
        <x:v>0</x:v>
      </x:c>
      <x:c r="AB25" t="str">
        <x:v>Crossref</x:v>
      </x:c>
      <x:c r="AC25" t="str">
        <x:v>2026-09-25</x:v>
      </x:c>
      <x:c r="AD25" t="str">
        <x:v>多指灵巧手操作不同物体时，任务奖励设计和跨手型泛化都很难。</x:v>
      </x:c>
      <x:c r="AE25" t="str">
        <x:v>Unknown / Needs Full-Paper Verification</x:v>
      </x:c>
      <x:c r="AF25" t="str">
        <x:v>以 `Dexterous Manipulation; Human Demonstrations / Motion Prior` 为主要方法/能力线索；更细的结构和消融结论待正文核验。</x:v>
      </x:c>
      <x:c r="AG25" t="str">
        <x:v>三类灵巧操作任务；具体数据集见官方论文。</x:v>
      </x:c>
      <x:c r="AH25" t="str">
        <x:v>Unknown / Needs Full-Paper Verification</x:v>
      </x:c>
      <x:c r="AI25" t="str">
        <x:v>- 官方题名与元数据已确认；具体表述待补读官方摘要或正文。</x:v>
      </x:c>
      <x:c r="AJ25" t="str">
        <x:v>Real Robot 字段为 `Unknown`；Dataset、Benchmark、Robot Platform 中的 Unknown 继续保留，不从题名推断。</x:v>
      </x:c>
      <x:c r="AK25" t="str">
        <x:v>官方 AAAI 摘要报告三类仿真与真机任务上的成功率和新物体泛化优于对比方法，并展示跨机械手部署；摘要未给统一数值。</x:v>
      </x:c>
      <x:c r="AL25" t="str">
        <x:v>Unknown / Needs Full-Paper Verification</x:v>
      </x:c>
      <x:c r="AM25" t="str">
        <x:v>Library Analysis / Research Note: Unknown / Needs Full-Paper Verification</x:v>
      </x:c>
      <x:c r="AN25" t="str">
        <x:v>** 对灵巧操作扩展有参考价值；当前普通夹爪主线需区分可迁移的学习方法与依赖多指硬件的部分。</x:v>
      </x:c>
      <x:c r="AO25" t="str">
        <x:v>Dexterous Manipulation; Human Demonstrations / Motion Prior</x:v>
      </x:c>
      <x:c r="AP25" t="str">
        <x:v>B</x:v>
      </x:c>
      <x:c r="AQ25"/>
      <x:c r="AR25" t="str">
        <x:v>Unknown / Not Explicitly Reported in the currently accessible sources.</x:v>
      </x:c>
      <x:c r="AS25" t="str">
        <x:v>Unknown / Not Explicitly Reported in the currently accessible sources.</x:v>
      </x:c>
      <x:c r="AT25" t="str">
        <x:v>https://api.crossref.org/works/10.1609/aaai.v40i22.38892</x:v>
      </x:c>
      <x:c r="AU25" t="str">
        <x:v>https://ojs.aaai.org/index.php/AAAI/article/download/38892/42854；官方摘要/论文集元数据</x:v>
      </x:c>
      <x:c r="AV25" t="str">
        <x:v>B-Fulltext-Unavailable</x:v>
      </x:c>
      <x:c r="AW25" t="str">
        <x:v>Not Found</x:v>
      </x:c>
      <x:c r="AX25" t="str">
        <x:v>Unknown</x:v>
      </x:c>
      <x:c r="AY25" t="str">
        <x:v>Unknown</x:v>
      </x:c>
      <x:c r="AZ25" t="str">
        <x:v>https://ojs.aaai.org/index.php/AAAI/article/download/38892/42854</x:v>
      </x:c>
      <x:c r="BA25" t="str">
        <x:v>No</x:v>
      </x:c>
      <x:c r="BB25" t="str">
        <x:v>No</x:v>
      </x:c>
      <x:c r="BC25" t="str">
        <x:v>No</x:v>
      </x:c>
      <x:c r="BD25" t="str">
        <x:v>No</x:v>
      </x:c>
      <x:c r="BE25" t="str">
        <x:v>No</x:v>
      </x:c>
      <x:c r="BF25" t="str">
        <x:v>No</x:v>
      </x:c>
      <x:c r="BG25" t="str">
        <x:v>No</x:v>
      </x:c>
      <x:c r="BH25" t="str">
        <x:v>Matched</x:v>
      </x:c>
      <x:c r="BI25" t="str">
        <x:v>Not Found After Verification</x:v>
      </x:c>
      <x:c r="BJ25" t="str">
        <x:v>Not Found After Verification</x:v>
      </x:c>
      <x:c r="BK25" t="str">
        <x:v>Audit logged - deep extraction pending</x:v>
      </x:c>
      <x:c r="BL25" t="str">
        <x:v>false</x:v>
      </x:c>
      <x:c r="BM25"/>
      <x:c r="BN25" t="str">
        <x:v>研究问题：多指灵巧手操作不同物体时，任务奖励设计和跨手型泛化都很难。；之前方法的问题：只模仿人手轨迹，难以把物体未来状态变成通用训练目标。；核心思路：从人—物交互数据学习物体运动先验，预测未来物体状态，再把它用于强化学习奖励。；输入：官方摘要给出任务/数据类型；具体模型张量与接口需核对方法章节。；输出与动作：官方摘要未明确列出完整控制接口；需核对论文方法或代码。；数据集与评测基准：三类灵巧操作任务；具体数据集见官方论文。；主要结果：官方 AAAI 摘要报告三类仿真与真机任务上的成功率和新物体泛化优于对比方法，并展示跨机械手部署；摘要未给统一数值。；为什么重要：提出“预测物体状态作为奖励”的路线，可与普通夹爪任务中的目标状态验证比较。；与当前项目的关系：Medium：方法可借鉴，但迁移到当前双臂硬件需验证。；主要局限：本段基于官方摘要；未覆盖全文失败案例、完整 Baseline 与方法消融。</x:v>
      </x:c>
      <x:c r="BO25" t="str">
        <x:v>只模仿人手轨迹，难以把物体未来状态变成通用训练目标。</x:v>
      </x:c>
      <x:c r="BP25" t="str">
        <x:v>从人—物交互数据学习物体运动先验，预测未来物体状态，再把它用于强化学习奖励。</x:v>
      </x:c>
      <x:c r="BQ25"/>
      <x:c r="BR25" t="str">
        <x:v>官方 AAAI 摘要报告三类仿真与真机任务上的成功率和新物体泛化优于对比方法，并展示跨机械手部署；摘要未给统一数值。</x:v>
      </x:c>
      <x:c r="BS25" t="str">
        <x:v>提出“预测物体状态作为奖励”的路线，可与普通夹爪任务中的目标状态验证比较。</x:v>
      </x:c>
      <x:c r="BT25" t="str">
        <x:v>本段基于官方摘要；未覆盖全文失败案例、完整 Baseline 与方法消融。</x:v>
      </x:c>
      <x:c r="BU25"/>
      <x:c r="BV25" t="str">
        <x:v>Medium：方法可借鉴，但迁移到当前双臂硬件需验证。</x:v>
      </x:c>
      <x:c r="BW25" t="str">
        <x:v>官方摘要/论文页：https://ojs.aaai.org/index.php/AAAI/article/view/38892；核验于 2026-09-23。仅为摘要级速读，原 Evidence Quality 不变。 - 核验层级：摘要有可追溯来源</x:v>
      </x:c>
      <x:c r="BX25" t="str">
        <x:v>crossref-exact-title-pdf-authors</x:v>
      </x:c>
      <x:c r="BY25" t="n">
        <x:v>0</x:v>
      </x:c>
      <x:c r="BZ25" t="n">
        <x:v>0</x:v>
      </x:c>
    </x:row>
    <x:row r="26" ht="58" customHeight="1">
      <x:c r="A26" t="str">
        <x:v>D025</x:v>
      </x:c>
      <x:c r="B26" t="str">
        <x:v>MILES: Making Imitation Learning Easy with Self-Supervision</x:v>
      </x:c>
      <x:c r="C26" t="n">
        <x:v>2024</x:v>
      </x:c>
      <x:c r="D26" t="str">
        <x:v>Method Paper</x:v>
      </x:c>
      <x:c r="E26" t="str">
        <x:v>CoRL</x:v>
      </x:c>
      <x:c r="F26" t="str">
        <x:v>Formal CoRL 2024; PMLR v270 online 2025</x:v>
      </x:c>
      <x:c r="G26" t="str">
        <x:v>Not CCF A (robotics venue extension; CCF row not asserted)</x:v>
      </x:c>
      <x:c r="H26" t="str">
        <x:v>Robot Manipulation / IL / Diffusion</x:v>
      </x:c>
      <x:c r="I26" t="str">
        <x:v>Self-Supervision</x:v>
      </x:c>
      <x:c r="J26" t="str">
        <x:v>Imitation Learning; Self-Supervision</x:v>
      </x:c>
      <x:c r="K26" t="e">
        <x:f>HYPERLINK("https://proceedings.mlr.press/v270/papagiannis25a.html","论文")</x:f>
        <x:v>HYPERLINK is not implemented. linkLocation=https://proceedings.mlr.press/v270/papagiannis25a.html, friendlyName=论文</x:v>
      </x:c>
      <x:c r="L26"/>
      <x:c r="M26"/>
      <x:c r="N26"/>
      <x:c r="O26" t="str">
        <x:v>Unknown</x:v>
      </x:c>
      <x:c r="P26" t="str">
        <x:v>Unknown</x:v>
      </x:c>
      <x:c r="Q26"/>
      <x:c r="R26" t="str">
        <x:v>Unknown</x:v>
      </x:c>
      <x:c r="S26" t="str">
        <x:v>Unknown</x:v>
      </x:c>
      <x:c r="T26" t="str">
        <x:v>PMLR CoRL Proceedings</x:v>
      </x:c>
      <x:c r="U26" t="str">
        <x:v>P2</x:v>
      </x:c>
      <x:c r="V26" t="str">
        <x:v>Conference year is 2024; PMLR v270 published online in Jan 2025.</x:v>
      </x:c>
      <x:c r="W26" t="str">
        <x:v>Official Verified</x:v>
      </x:c>
      <x:c r="X26" t="str">
        <x:v>2026-09-18</x:v>
      </x:c>
      <x:c r="Y26" t="str">
        <x:v>Diffusion / Flow / IL / RL</x:v>
      </x:c>
      <x:c r="Z26" t="str">
        <x:v>02_Papers/06_Diffusion_Flow_IL_RL/MILES.md</x:v>
      </x:c>
      <x:c r="AA26" t="n">
        <x:v>0</x:v>
      </x:c>
      <x:c r="AB26" t="str">
        <x:v>OpenAlex</x:v>
      </x:c>
      <x:c r="AC26" t="str">
        <x:v>2026-09-25</x:v>
      </x:c>
      <x:c r="AD26" t="str">
        <x:v>模仿学习的数据采集通常需要多次人工示范和环境复位。</x:v>
      </x:c>
      <x:c r="AE26" t="str">
        <x:v>Unknown / Needs Full-Paper Verification</x:v>
      </x:c>
      <x:c r="AF26" t="str">
        <x:v>Unknown / Needs Full-Paper Verification</x:v>
      </x:c>
      <x:c r="AG26" t="str">
        <x:v>已核验摘要未明确说明；需查阅论文方法与实验章节。</x:v>
      </x:c>
      <x:c r="AH26" t="str">
        <x:v>Unknown / Needs Full-Paper Verification</x:v>
      </x:c>
      <x:c r="AI26" t="str">
        <x:v>Unknown / Needs Full-Paper Verification</x:v>
      </x:c>
      <x:c r="AJ26" t="str">
        <x:v>Unknown / Needs Full-Paper Verification</x:v>
      </x:c>
      <x:c r="AK26" t="str">
        <x:v>Unknown / Needs Full-Paper Verification</x:v>
      </x:c>
      <x:c r="AL26" t="str">
        <x:v>Unknown / Needs Full-Paper Verification</x:v>
      </x:c>
      <x:c r="AM26" t="str">
        <x:v>Library Analysis / Research Note: Unknown / Needs Full-Paper Verification</x:v>
      </x:c>
      <x:c r="AN26" t="str">
        <x:v>Unknown / Needs Project-Specific Review</x:v>
      </x:c>
      <x:c r="AO26" t="str">
        <x:v>Unknown</x:v>
      </x:c>
      <x:c r="AP26" t="str">
        <x:v>B</x:v>
      </x:c>
      <x:c r="AQ26"/>
      <x:c r="AR26" t="str">
        <x:v>Unknown / Not Explicitly Reported in the currently accessible sources.</x:v>
      </x:c>
      <x:c r="AS26" t="str">
        <x:v>Unknown / Not Explicitly Reported in the currently accessible sources.</x:v>
      </x:c>
      <x:c r="AT26" t="str">
        <x:v>https://openalex.org/W4404312247</x:v>
      </x:c>
      <x:c r="AU26" t="str">
        <x:v>Unknown</x:v>
      </x:c>
      <x:c r="AV26" t="str">
        <x:v>B-Fulltext-Unavailable</x:v>
      </x:c>
      <x:c r="AW26" t="str">
        <x:v>Not Found</x:v>
      </x:c>
      <x:c r="AX26" t="str">
        <x:v>Unknown</x:v>
      </x:c>
      <x:c r="AY26" t="str">
        <x:v>Unknown</x:v>
      </x:c>
      <x:c r="AZ26" t="str">
        <x:v>https://raw.githubusercontent.com/mlresearch/v270/main/assets/papagiannis25a/papagiannis25a.pdf</x:v>
      </x:c>
      <x:c r="BA26" t="str">
        <x:v>No</x:v>
      </x:c>
      <x:c r="BB26" t="str">
        <x:v>No</x:v>
      </x:c>
      <x:c r="BC26" t="str">
        <x:v>No</x:v>
      </x:c>
      <x:c r="BD26" t="str">
        <x:v>No</x:v>
      </x:c>
      <x:c r="BE26" t="str">
        <x:v>No</x:v>
      </x:c>
      <x:c r="BF26" t="str">
        <x:v>No</x:v>
      </x:c>
      <x:c r="BG26" t="str">
        <x:v>No</x:v>
      </x:c>
      <x:c r="BH26" t="str">
        <x:v>Matched</x:v>
      </x:c>
      <x:c r="BI26" t="str">
        <x:v>Not Found After Verification</x:v>
      </x:c>
      <x:c r="BJ26" t="str">
        <x:v>Not Found After Verification</x:v>
      </x:c>
      <x:c r="BK26" t="str">
        <x:v>Audit logged - deep extraction pending</x:v>
      </x:c>
      <x:c r="BL26" t="str">
        <x:v>false</x:v>
      </x:c>
      <x:c r="BM26"/>
      <x:c r="BN26" t="str">
        <x:v>研究问题：模仿学习的数据采集通常需要多次人工示范和环境复位。；之前方法的问题：昂贵的人工监督限制新任务的快速适配。；核心思路：MILES 从单条示范出发，以自主自监督方式继续收集训练经验。；为什么重要：可以减少普通夹爪真机的示范采集成本。；与当前项目的关系：High：项目可测自主采集是否安全且节省人力。；主要局限：自主收集失败轨迹时的安全和错误标签需要严格控制。</x:v>
      </x:c>
      <x:c r="BO26" t="str">
        <x:v>昂贵的人工监督限制新任务的快速适配。</x:v>
      </x:c>
      <x:c r="BP26" t="str">
        <x:v>MILES 从单条示范出发，以自主自监督方式继续收集训练经验。</x:v>
      </x:c>
      <x:c r="BQ26"/>
      <x:c r="BR26" t="str">
        <x:v>作者报告在单示范、无需反复复位的约束下优于对比方法；统一数字需查正文。</x:v>
      </x:c>
      <x:c r="BS26" t="str">
        <x:v>可以减少普通夹爪真机的示范采集成本。</x:v>
      </x:c>
      <x:c r="BT26" t="str">
        <x:v>自主收集失败轨迹时的安全和错误标签需要严格控制。</x:v>
      </x:c>
      <x:c r="BU26"/>
      <x:c r="BV26" t="str">
        <x:v>High：项目可测自主采集是否安全且节省人力。</x:v>
      </x:c>
      <x:c r="BW26" t="str">
        <x:v>官方摘要/论文页; https://proceedings.mlr.press/v270/papagiannis25a.html; 核验于 2026-09-23. 仅为摘要级速读；原 Evidence Quality 不变。 - 核验层级：摘要有可追溯来源</x:v>
      </x:c>
      <x:c r="BX26" t="str">
        <x:v>final-title</x:v>
      </x:c>
      <x:c r="BY26" t="n">
        <x:v>0</x:v>
      </x:c>
      <x:c r="BZ26" t="n">
        <x:v>0</x:v>
      </x:c>
    </x:row>
    <x:row r="27" ht="58" customHeight="1">
      <x:c r="A27" t="str">
        <x:v>D026</x:v>
      </x:c>
      <x:c r="B27" t="str">
        <x:v>Learning Robotic Manipulation Policies from Point Clouds with Conditional Flow Matching</x:v>
      </x:c>
      <x:c r="C27" t="n">
        <x:v>2024</x:v>
      </x:c>
      <x:c r="D27" t="str">
        <x:v>Method Paper</x:v>
      </x:c>
      <x:c r="E27" t="str">
        <x:v>CoRL</x:v>
      </x:c>
      <x:c r="F27" t="str">
        <x:v>Formal CoRL 2024; PMLR v270 online 2025</x:v>
      </x:c>
      <x:c r="G27" t="str">
        <x:v>Not CCF A (robotics venue extension; CCF row not asserted)</x:v>
      </x:c>
      <x:c r="H27" t="str">
        <x:v>Robot Manipulation / IL / Diffusion</x:v>
      </x:c>
      <x:c r="I27" t="str">
        <x:v>Point Cloud / Flow Matching</x:v>
      </x:c>
      <x:c r="J27" t="str">
        <x:v>Robot Manipulation; Point Cloud / Flow Matching</x:v>
      </x:c>
      <x:c r="K27" t="e">
        <x:f>HYPERLINK("https://proceedings.mlr.press/v270/chisari25a.html","论文")</x:f>
        <x:v>HYPERLINK is not implemented. linkLocation=https://proceedings.mlr.press/v270/chisari25a.html, friendlyName=论文</x:v>
      </x:c>
      <x:c r="L27"/>
      <x:c r="M27"/>
      <x:c r="N27"/>
      <x:c r="O27" t="str">
        <x:v>Unknown</x:v>
      </x:c>
      <x:c r="P27" t="str">
        <x:v>Unknown</x:v>
      </x:c>
      <x:c r="Q27"/>
      <x:c r="R27" t="str">
        <x:v>Unknown</x:v>
      </x:c>
      <x:c r="S27" t="str">
        <x:v>Single Arm / Parallel Gripper</x:v>
      </x:c>
      <x:c r="T27" t="str">
        <x:v>PMLR CoRL Proceedings</x:v>
      </x:c>
      <x:c r="U27" t="str">
        <x:v>P1</x:v>
      </x:c>
      <x:c r="V27" t="str">
        <x:v>Conference year is 2024; PMLR v270 published online in Jan 2025.</x:v>
      </x:c>
      <x:c r="W27" t="str">
        <x:v>Official Verified</x:v>
      </x:c>
      <x:c r="X27" t="str">
        <x:v>2026-09-18</x:v>
      </x:c>
      <x:c r="Y27" t="str">
        <x:v>Diffusion / Flow / IL / RL</x:v>
      </x:c>
      <x:c r="Z27" t="str">
        <x:v>02_Papers/06_Diffusion_Flow_IL_RL/Learning_Robotic_Manipulation_Policies_from_Point_Clouds_with_Conditional_Flow_Matching.md</x:v>
      </x:c>
      <x:c r="AA27" t="n">
        <x:v>1</x:v>
      </x:c>
      <x:c r="AB27" t="str">
        <x:v>OpenAlex</x:v>
      </x:c>
      <x:c r="AC27" t="str">
        <x:v>2026-09-25</x:v>
      </x:c>
      <x:c r="AD27" t="str">
        <x:v>少量示范条件下，策略输入和动作生成目标的选择影响操作表现。</x:v>
      </x:c>
      <x:c r="AE27" t="str">
        <x:v>Unknown / Needs Full-Paper Verification</x:v>
      </x:c>
      <x:c r="AF27" t="str">
        <x:v>Unknown / Needs Full-Paper Verification</x:v>
      </x:c>
      <x:c r="AG27" t="str">
        <x:v>RLBench。</x:v>
      </x:c>
      <x:c r="AH27" t="str">
        <x:v>Unknown / Needs Full-Paper Verification</x:v>
      </x:c>
      <x:c r="AI27" t="str">
        <x:v>Unknown / Needs Full-Paper Verification</x:v>
      </x:c>
      <x:c r="AJ27" t="str">
        <x:v>Unknown / Needs Full-Paper Verification</x:v>
      </x:c>
      <x:c r="AK27" t="str">
        <x:v>作者报告在 RLBench 上达到有竞争力的结果；完整数值需看论文表格。</x:v>
      </x:c>
      <x:c r="AL27" t="str">
        <x:v>Unknown / Needs Full-Paper Verification</x:v>
      </x:c>
      <x:c r="AM27" t="str">
        <x:v>Library Analysis / Research Note: Unknown / Needs Full-Paper Verification</x:v>
      </x:c>
      <x:c r="AN27" t="str">
        <x:v>Unknown / Needs Project-Specific Review</x:v>
      </x:c>
      <x:c r="AO27" t="str">
        <x:v>Unknown</x:v>
      </x:c>
      <x:c r="AP27" t="str">
        <x:v>B</x:v>
      </x:c>
      <x:c r="AQ27"/>
      <x:c r="AR27" t="str">
        <x:v>Unknown / Not Explicitly Reported in the currently accessible sources.</x:v>
      </x:c>
      <x:c r="AS27" t="str">
        <x:v>Unknown / Not Explicitly Reported in the currently accessible sources.</x:v>
      </x:c>
      <x:c r="AT27" t="str">
        <x:v>https://openalex.org/W4403622102</x:v>
      </x:c>
      <x:c r="AU27" t="str">
        <x:v>Unknown</x:v>
      </x:c>
      <x:c r="AV27" t="str">
        <x:v>B-Fulltext-Unavailable</x:v>
      </x:c>
      <x:c r="AW27" t="str">
        <x:v>Not Found</x:v>
      </x:c>
      <x:c r="AX27" t="str">
        <x:v>Unknown</x:v>
      </x:c>
      <x:c r="AY27" t="str">
        <x:v>Unknown</x:v>
      </x:c>
      <x:c r="AZ27" t="str">
        <x:v>https://raw.githubusercontent.com/mlresearch/v270/main/assets/chisari25a/chisari25a.pdf</x:v>
      </x:c>
      <x:c r="BA27" t="str">
        <x:v>No</x:v>
      </x:c>
      <x:c r="BB27" t="str">
        <x:v>No</x:v>
      </x:c>
      <x:c r="BC27" t="str">
        <x:v>No</x:v>
      </x:c>
      <x:c r="BD27" t="str">
        <x:v>No</x:v>
      </x:c>
      <x:c r="BE27" t="str">
        <x:v>No</x:v>
      </x:c>
      <x:c r="BF27" t="str">
        <x:v>No</x:v>
      </x:c>
      <x:c r="BG27" t="str">
        <x:v>No</x:v>
      </x:c>
      <x:c r="BH27" t="str">
        <x:v>Matched</x:v>
      </x:c>
      <x:c r="BI27" t="str">
        <x:v>Not Found After Verification</x:v>
      </x:c>
      <x:c r="BJ27" t="str">
        <x:v>Not Found After Verification</x:v>
      </x:c>
      <x:c r="BK27" t="str">
        <x:v>Audit logged - deep extraction pending</x:v>
      </x:c>
      <x:c r="BL27" t="str">
        <x:v>false</x:v>
      </x:c>
      <x:c r="BM27"/>
      <x:c r="BN27" t="str">
        <x:v>研究问题：少量示范条件下，策略输入和动作生成目标的选择影响操作表现。；之前方法的问题：二维图像可能丢失三维几何；迭代生成动作又增加延迟。；核心思路：PointFlowMatch 从点云观测学习条件 Flow Matching 策略，生成机器人操作动作。；数据集与评测基准：RLBench。；主要结果：作者报告在 RLBench 上达到有竞争力的结果；完整数值需看论文表格。；为什么重要：为点云输入加流式动作生成提供基线。；与当前项目的关系：Medium：双夹爪三维定位可借鉴，但真机点云质量需检查。；主要局限：仿真点云与真机深度噪声之间可能存在差距。</x:v>
      </x:c>
      <x:c r="BO27" t="str">
        <x:v>二维图像可能丢失三维几何；迭代生成动作又增加延迟。</x:v>
      </x:c>
      <x:c r="BP27" t="str">
        <x:v>PointFlowMatch 从点云观测学习条件 Flow Matching 策略，生成机器人操作动作。</x:v>
      </x:c>
      <x:c r="BQ27"/>
      <x:c r="BR27" t="str">
        <x:v>作者报告在 RLBench 上达到有竞争力的结果；完整数值需看论文表格。</x:v>
      </x:c>
      <x:c r="BS27" t="str">
        <x:v>为点云输入加流式动作生成提供基线。</x:v>
      </x:c>
      <x:c r="BT27" t="str">
        <x:v>仿真点云与真机深度噪声之间可能存在差距。</x:v>
      </x:c>
      <x:c r="BU27"/>
      <x:c r="BV27" t="str">
        <x:v>Medium：双夹爪三维定位可借鉴，但真机点云质量需检查。</x:v>
      </x:c>
      <x:c r="BW27" t="str">
        <x:v>官方摘要/论文页; https://proceedings.mlr.press/v270/chisari25a.html; 核验于 2026-09-23. 仅为摘要级速读；原 Evidence Quality 不变。 - 核验层级：摘要有可追溯来源</x:v>
      </x:c>
      <x:c r="BX27" t="str">
        <x:v>final-title</x:v>
      </x:c>
      <x:c r="BY27" t="n">
        <x:v>0</x:v>
      </x:c>
      <x:c r="BZ27" t="n">
        <x:v>1</x:v>
      </x:c>
    </x:row>
    <x:row r="28" ht="58" customHeight="1">
      <x:c r="A28" t="str">
        <x:v>D027</x:v>
      </x:c>
      <x:c r="B28" t="str">
        <x:v>SPIRE: Synergistic Planning, Imitation, and Reinforcement Learning for Long-Horizon Manipulation</x:v>
      </x:c>
      <x:c r="C28" t="n">
        <x:v>2024</x:v>
      </x:c>
      <x:c r="D28" t="str">
        <x:v>Method Paper</x:v>
      </x:c>
      <x:c r="E28" t="str">
        <x:v>CoRL</x:v>
      </x:c>
      <x:c r="F28" t="str">
        <x:v>Formal CoRL 2024; PMLR v270 online 2025</x:v>
      </x:c>
      <x:c r="G28" t="str">
        <x:v>Not CCF A (robotics venue extension; CCF row not asserted)</x:v>
      </x:c>
      <x:c r="H28" t="str">
        <x:v>Robot Manipulation / IL / Diffusion</x:v>
      </x:c>
      <x:c r="I28" t="str">
        <x:v>Long-Horizon / IL / RL</x:v>
      </x:c>
      <x:c r="J28" t="str">
        <x:v>Robot Manipulation; Long-Horizon / IL / RL</x:v>
      </x:c>
      <x:c r="K28" t="e">
        <x:f>HYPERLINK("https://proceedings.mlr.press/v270/zhou24b.html","论文")</x:f>
        <x:v>HYPERLINK is not implemented. linkLocation=https://proceedings.mlr.press/v270/zhou24b.html, friendlyName=论文</x:v>
      </x:c>
      <x:c r="L28"/>
      <x:c r="M28"/>
      <x:c r="N28"/>
      <x:c r="O28" t="str">
        <x:v>Unknown</x:v>
      </x:c>
      <x:c r="P28" t="str">
        <x:v>Unknown</x:v>
      </x:c>
      <x:c r="Q28"/>
      <x:c r="R28" t="str">
        <x:v>Unknown</x:v>
      </x:c>
      <x:c r="S28" t="str">
        <x:v>Single Arm</x:v>
      </x:c>
      <x:c r="T28" t="str">
        <x:v>PMLR CoRL Proceedings</x:v>
      </x:c>
      <x:c r="U28" t="str">
        <x:v>P1</x:v>
      </x:c>
      <x:c r="V28" t="str">
        <x:v>Conference year is 2024; PMLR v270 published online in Jan 2025.</x:v>
      </x:c>
      <x:c r="W28" t="str">
        <x:v>Official Verified</x:v>
      </x:c>
      <x:c r="X28" t="str">
        <x:v>2026-09-18</x:v>
      </x:c>
      <x:c r="Y28" t="str">
        <x:v>Generalization / Long-Horizon</x:v>
      </x:c>
      <x:c r="Z28" t="str">
        <x:v>02_Papers/07_Generalization_LongHorizon/SPIRE.md</x:v>
      </x:c>
      <x:c r="AA28" t="n">
        <x:v>1</x:v>
      </x:c>
      <x:c r="AB28" t="str">
        <x:v>OpenAlex</x:v>
      </x:c>
      <x:c r="AC28" t="str">
        <x:v>2026-09-25</x:v>
      </x:c>
      <x:c r="AD28" t="str">
        <x:v>复杂操作任务需要既能规划步骤，又能执行可靠动作。</x:v>
      </x:c>
      <x:c r="AE28" t="str">
        <x:v>Unknown / Needs Full-Paper Verification</x:v>
      </x:c>
      <x:c r="AF28" t="str">
        <x:v>Unknown / Needs Full-Paper Verification</x:v>
      </x:c>
      <x:c r="AG28" t="str">
        <x:v>已核验摘要未明确说明；需查阅论文方法与实验章节。</x:v>
      </x:c>
      <x:c r="AH28" t="str">
        <x:v>Unknown / Needs Full-Paper Verification</x:v>
      </x:c>
      <x:c r="AI28" t="str">
        <x:v>Unknown / Needs Full-Paper Verification</x:v>
      </x:c>
      <x:c r="AJ28" t="str">
        <x:v>Unknown / Needs Full-Paper Verification</x:v>
      </x:c>
      <x:c r="AK28" t="str">
        <x:v>作者报告相对其他结合模仿学习、强化学习与规划的方法取得更好表现；数字见原文。</x:v>
      </x:c>
      <x:c r="AL28" t="str">
        <x:v>Unknown / Needs Full-Paper Verification</x:v>
      </x:c>
      <x:c r="AM28" t="str">
        <x:v>Library Analysis / Research Note: Unknown / Needs Full-Paper Verification</x:v>
      </x:c>
      <x:c r="AN28" t="str">
        <x:v>Unknown / Needs Project-Specific Review</x:v>
      </x:c>
      <x:c r="AO28" t="str">
        <x:v>Unknown</x:v>
      </x:c>
      <x:c r="AP28" t="str">
        <x:v>B</x:v>
      </x:c>
      <x:c r="AQ28"/>
      <x:c r="AR28" t="str">
        <x:v>Unknown / Not Explicitly Reported in the currently accessible sources.</x:v>
      </x:c>
      <x:c r="AS28" t="str">
        <x:v>Unknown / Not Explicitly Reported in the currently accessible sources.</x:v>
      </x:c>
      <x:c r="AT28" t="str">
        <x:v>https://openalex.org/W4404308601</x:v>
      </x:c>
      <x:c r="AU28" t="str">
        <x:v>https://proceedings.mlr.press/v270/</x:v>
      </x:c>
      <x:c r="AV28" t="str">
        <x:v>B-Fulltext-Unavailable</x:v>
      </x:c>
      <x:c r="AW28" t="str">
        <x:v>Not Found</x:v>
      </x:c>
      <x:c r="AX28" t="str">
        <x:v>Unknown</x:v>
      </x:c>
      <x:c r="AY28" t="str">
        <x:v>Unknown</x:v>
      </x:c>
      <x:c r="AZ28" t="str">
        <x:v>https://raw.githubusercontent.com/mlresearch/v270/main/assets/zhou25a/zhou25a.pdf</x:v>
      </x:c>
      <x:c r="BA28" t="str">
        <x:v>No</x:v>
      </x:c>
      <x:c r="BB28" t="str">
        <x:v>No</x:v>
      </x:c>
      <x:c r="BC28" t="str">
        <x:v>No</x:v>
      </x:c>
      <x:c r="BD28" t="str">
        <x:v>No</x:v>
      </x:c>
      <x:c r="BE28" t="str">
        <x:v>No</x:v>
      </x:c>
      <x:c r="BF28" t="str">
        <x:v>No</x:v>
      </x:c>
      <x:c r="BG28" t="str">
        <x:v>No</x:v>
      </x:c>
      <x:c r="BH28" t="str">
        <x:v>Matched</x:v>
      </x:c>
      <x:c r="BI28" t="str">
        <x:v>Not Found After Verification</x:v>
      </x:c>
      <x:c r="BJ28" t="str">
        <x:v>Not Found After Verification</x:v>
      </x:c>
      <x:c r="BK28" t="str">
        <x:v>Audit logged - deep extraction pending</x:v>
      </x:c>
      <x:c r="BL28" t="str">
        <x:v>false</x:v>
      </x:c>
      <x:c r="BM28"/>
      <x:c r="BN28" t="str">
        <x:v>研究问题：复杂操作任务需要既能规划步骤，又能执行可靠动作。；之前方法的问题：只用模仿学习或强化学习，可能难以组织长时序任务。；核心思路：SPIRE 先用 Task and Motion Planning（TAMP）分解任务，再将学习策略用于具体执行。；主要结果：作者报告相对其他结合模仿学习、强化学习与规划的方法取得更好表现；数字见原文。；为什么重要：提供规划与学习策略组合的系统基线。；与当前项目的关系：High：双臂长任务可测试分解与执行后检查。；主要局限：规划模型与真实接触差异可能造成执行偏差。</x:v>
      </x:c>
      <x:c r="BO28" t="str">
        <x:v>只用模仿学习或强化学习，可能难以组织长时序任务。</x:v>
      </x:c>
      <x:c r="BP28" t="str">
        <x:v>SPIRE 先用 Task and Motion Planning（TAMP）分解任务，再将学习策略用于具体执行。</x:v>
      </x:c>
      <x:c r="BQ28"/>
      <x:c r="BR28" t="str">
        <x:v>作者报告相对其他结合模仿学习、强化学习与规划的方法取得更好表现；数字见原文。</x:v>
      </x:c>
      <x:c r="BS28" t="str">
        <x:v>提供规划与学习策略组合的系统基线。</x:v>
      </x:c>
      <x:c r="BT28" t="str">
        <x:v>规划模型与真实接触差异可能造成执行偏差。</x:v>
      </x:c>
      <x:c r="BU28"/>
      <x:c r="BV28" t="str">
        <x:v>High：双臂长任务可测试分解与执行后检查。</x:v>
      </x:c>
      <x:c r="BW28" t="str">
        <x:v>OpenAlex 索引摘要; https://api.openalex.org/works/W4404308601; 核验于 2026-09-23. 仅为摘要级速读；原 Evidence Quality 不变。 - 核验层级：摘要有可追溯来源</x:v>
      </x:c>
      <x:c r="BX28" t="str">
        <x:v>final-pdf-author</x:v>
      </x:c>
      <x:c r="BY28" t="n">
        <x:v>0</x:v>
      </x:c>
      <x:c r="BZ28" t="n">
        <x:v>0</x:v>
      </x:c>
    </x:row>
    <x:row r="29" ht="58" customHeight="1">
      <x:c r="A29" t="str">
        <x:v>D028</x:v>
      </x:c>
      <x:c r="B29" t="str">
        <x:v>OPEN TEACH: A Versatile Teleoperation System for Robotic Manipulation</x:v>
      </x:c>
      <x:c r="C29" t="n">
        <x:v>2024</x:v>
      </x:c>
      <x:c r="D29" t="str">
        <x:v>System / Platform</x:v>
      </x:c>
      <x:c r="E29" t="str">
        <x:v>CoRL</x:v>
      </x:c>
      <x:c r="F29" t="str">
        <x:v>Formal CoRL 2024; PMLR v270 online 2025</x:v>
      </x:c>
      <x:c r="G29" t="str">
        <x:v>Not CCF A (robotics venue extension; CCF row not asserted)</x:v>
      </x:c>
      <x:c r="H29" t="str">
        <x:v>Robot Manipulation / IL / Diffusion</x:v>
      </x:c>
      <x:c r="I29" t="str">
        <x:v>Teleoperation / Data Collection</x:v>
      </x:c>
      <x:c r="J29" t="str">
        <x:v>Human Demonstration; Teleoperation / Data Collection</x:v>
      </x:c>
      <x:c r="K29" t="e">
        <x:f>HYPERLINK("https://proceedings.mlr.press/v270/iyer25a.html","论文")</x:f>
        <x:v>HYPERLINK is not implemented. linkLocation=https://proceedings.mlr.press/v270/iyer25a.html, friendlyName=论文</x:v>
      </x:c>
      <x:c r="L29"/>
      <x:c r="M29"/>
      <x:c r="N29"/>
      <x:c r="O29" t="str">
        <x:v>Unknown</x:v>
      </x:c>
      <x:c r="P29" t="str">
        <x:v>Unknown</x:v>
      </x:c>
      <x:c r="Q29"/>
      <x:c r="R29" t="str">
        <x:v>Unknown</x:v>
      </x:c>
      <x:c r="S29" t="str">
        <x:v>Single Arm / Parallel Gripper</x:v>
      </x:c>
      <x:c r="T29" t="str">
        <x:v>PMLR CoRL Proceedings</x:v>
      </x:c>
      <x:c r="U29" t="str">
        <x:v>P0</x:v>
      </x:c>
      <x:c r="V29" t="str">
        <x:v>Conference year is 2024; PMLR v270 published online in Jan 2025.</x:v>
      </x:c>
      <x:c r="W29" t="str">
        <x:v>Official Verified</x:v>
      </x:c>
      <x:c r="X29" t="str">
        <x:v>2026-09-18</x:v>
      </x:c>
      <x:c r="Y29" t="str">
        <x:v>Data / Teleoperation</x:v>
      </x:c>
      <x:c r="Z29" t="str">
        <x:v>02_Papers/08_Data_Teleoperation/OPEN_TEACH.md</x:v>
      </x:c>
      <x:c r="AA29" t="n">
        <x:v>2</x:v>
      </x:c>
      <x:c r="AB29" t="str">
        <x:v>OpenAlex</x:v>
      </x:c>
      <x:c r="AC29" t="str">
        <x:v>2026-09-25</x:v>
      </x:c>
      <x:c r="AD29" t="str">
        <x:v>开放、易用的遥操作工具是低成本收集机器人示范的基础。</x:v>
      </x:c>
      <x:c r="AE29" t="str">
        <x:v>Unknown / Needs Full-Paper Verification</x:v>
      </x:c>
      <x:c r="AF29" t="str">
        <x:v>Unknown / Needs Full-Paper Verification</x:v>
      </x:c>
      <x:c r="AG29" t="str">
        <x:v>已核验摘要未明确说明；需查阅论文方法与实验章节。</x:v>
      </x:c>
      <x:c r="AH29" t="str">
        <x:v>Unknown / Needs Full-Paper Verification</x:v>
      </x:c>
      <x:c r="AI29" t="str">
        <x:v>Unknown / Needs Full-Paper Verification</x:v>
      </x:c>
      <x:c r="AJ29" t="str">
        <x:v>Unknown / Needs Full-Paper Verification</x:v>
      </x:c>
      <x:c r="AK29" t="str">
        <x:v>已核验摘要未给可安全复述的统一量化结果。</x:v>
      </x:c>
      <x:c r="AL29" t="str">
        <x:v>Unknown / Needs Full-Paper Verification</x:v>
      </x:c>
      <x:c r="AM29" t="str">
        <x:v>Library Analysis / Research Note: Unknown / Needs Full-Paper Verification</x:v>
      </x:c>
      <x:c r="AN29" t="str">
        <x:v>Unknown / Needs Project-Specific Review</x:v>
      </x:c>
      <x:c r="AO29" t="str">
        <x:v>Unknown</x:v>
      </x:c>
      <x:c r="AP29" t="str">
        <x:v>B</x:v>
      </x:c>
      <x:c r="AQ29"/>
      <x:c r="AR29" t="str">
        <x:v>Unknown / Not Explicitly Reported in the currently accessible sources.</x:v>
      </x:c>
      <x:c r="AS29" t="str">
        <x:v>Unknown / Not Explicitly Reported in the currently accessible sources.</x:v>
      </x:c>
      <x:c r="AT29" t="str">
        <x:v>https://openalex.org/W4392781441</x:v>
      </x:c>
      <x:c r="AU29" t="str">
        <x:v>Unknown</x:v>
      </x:c>
      <x:c r="AV29" t="str">
        <x:v>B-Fulltext-Unavailable</x:v>
      </x:c>
      <x:c r="AW29" t="str">
        <x:v>Not Found</x:v>
      </x:c>
      <x:c r="AX29" t="str">
        <x:v>Unknown</x:v>
      </x:c>
      <x:c r="AY29" t="str">
        <x:v>Unknown</x:v>
      </x:c>
      <x:c r="AZ29" t="str">
        <x:v>https://raw.githubusercontent.com/mlresearch/v270/main/assets/iyer25a/iyer25a.pdf</x:v>
      </x:c>
      <x:c r="BA29" t="str">
        <x:v>No</x:v>
      </x:c>
      <x:c r="BB29" t="str">
        <x:v>No</x:v>
      </x:c>
      <x:c r="BC29" t="str">
        <x:v>No</x:v>
      </x:c>
      <x:c r="BD29" t="str">
        <x:v>No</x:v>
      </x:c>
      <x:c r="BE29" t="str">
        <x:v>No</x:v>
      </x:c>
      <x:c r="BF29" t="str">
        <x:v>No</x:v>
      </x:c>
      <x:c r="BG29" t="str">
        <x:v>No</x:v>
      </x:c>
      <x:c r="BH29" t="str">
        <x:v>Matched</x:v>
      </x:c>
      <x:c r="BI29" t="str">
        <x:v>Not Found After Verification</x:v>
      </x:c>
      <x:c r="BJ29" t="str">
        <x:v>Not Found After Verification</x:v>
      </x:c>
      <x:c r="BK29" t="str">
        <x:v>Audit logged - deep extraction pending</x:v>
      </x:c>
      <x:c r="BL29" t="str">
        <x:v>false</x:v>
      </x:c>
      <x:c r="BM29"/>
      <x:c r="BN29" t="str">
        <x:v>研究问题：开放、易用的遥操作工具是低成本收集机器人示范的基础。；之前方法的问题：复杂专有系统阻碍示范采集的复现和共享。；核心思路：OPEN TEACH 用 VR 头显与混合现实界面进行直观机器人遥操作。；主要结果：已核验摘要未给可安全复述的统一量化结果。；为什么重要：为建立本项目示范采集流程提供开源系统参考。；与当前项目的关系：High：可比较普通夹爪双臂遥操作的学习成本。；主要局限：VR 延迟、标定和安全机制需按目标硬件核验。</x:v>
      </x:c>
      <x:c r="BO29" t="str">
        <x:v>复杂专有系统阻碍示范采集的复现和共享。</x:v>
      </x:c>
      <x:c r="BP29" t="str">
        <x:v>OPEN TEACH 用 VR 头显与混合现实界面进行直观机器人遥操作。</x:v>
      </x:c>
      <x:c r="BQ29"/>
      <x:c r="BR29" t="str">
        <x:v>已核验摘要未给可安全复述的统一量化结果。</x:v>
      </x:c>
      <x:c r="BS29" t="str">
        <x:v>为建立本项目示范采集流程提供开源系统参考。</x:v>
      </x:c>
      <x:c r="BT29" t="str">
        <x:v>VR 延迟、标定和安全机制需按目标硬件核验。</x:v>
      </x:c>
      <x:c r="BU29"/>
      <x:c r="BV29" t="str">
        <x:v>High：可比较普通夹爪双臂遥操作的学习成本。</x:v>
      </x:c>
      <x:c r="BW29" t="str">
        <x:v>官方摘要/论文页; https://proceedings.mlr.press/v270/iyer25a.html; 核验于 2026-09-23. 仅为摘要级速读；原 Evidence Quality 不变。 - 核验层级：摘要有可追溯来源</x:v>
      </x:c>
      <x:c r="BX29" t="str">
        <x:v>final-title</x:v>
      </x:c>
      <x:c r="BY29" t="n">
        <x:v>0</x:v>
      </x:c>
      <x:c r="BZ29" t="n">
        <x:v>1</x:v>
      </x:c>
    </x:row>
    <x:row r="30" ht="58" customHeight="1">
      <x:c r="A30" t="str">
        <x:v>D029</x:v>
      </x:c>
      <x:c r="B30" t="str">
        <x:v>RAM: Retrieval-Based Affordance Transfer for Generalizable Zero-Shot Robotic Manipulation</x:v>
      </x:c>
      <x:c r="C30" t="n">
        <x:v>2024</x:v>
      </x:c>
      <x:c r="D30" t="str">
        <x:v>Method Paper</x:v>
      </x:c>
      <x:c r="E30" t="str">
        <x:v>CoRL</x:v>
      </x:c>
      <x:c r="F30" t="str">
        <x:v>Formal CoRL 2024; PMLR v270 online 2025</x:v>
      </x:c>
      <x:c r="G30" t="str">
        <x:v>Not CCF A (robotics venue extension; CCF row not asserted)</x:v>
      </x:c>
      <x:c r="H30" t="str">
        <x:v>Robot Manipulation / IL / Diffusion</x:v>
      </x:c>
      <x:c r="I30" t="str">
        <x:v>Affordance / Zero-Shot</x:v>
      </x:c>
      <x:c r="J30" t="str">
        <x:v>Robot Manipulation; Affordance / Zero-Shot</x:v>
      </x:c>
      <x:c r="K30" t="e">
        <x:f>HYPERLINK("https://proceedings.mlr.press/v270/kuang24a.html","论文")</x:f>
        <x:v>HYPERLINK is not implemented. linkLocation=https://proceedings.mlr.press/v270/kuang24a.html, friendlyName=论文</x:v>
      </x:c>
      <x:c r="L30"/>
      <x:c r="M30"/>
      <x:c r="N30"/>
      <x:c r="O30" t="str">
        <x:v>Unknown</x:v>
      </x:c>
      <x:c r="P30" t="str">
        <x:v>Unknown</x:v>
      </x:c>
      <x:c r="Q30"/>
      <x:c r="R30" t="str">
        <x:v>Unknown</x:v>
      </x:c>
      <x:c r="S30" t="str">
        <x:v>Single Arm / Parallel Gripper</x:v>
      </x:c>
      <x:c r="T30" t="str">
        <x:v>PMLR CoRL Proceedings</x:v>
      </x:c>
      <x:c r="U30" t="str">
        <x:v>P1</x:v>
      </x:c>
      <x:c r="V30" t="str">
        <x:v>Conference year is 2024; PMLR v270 published online in Jan 2025.</x:v>
      </x:c>
      <x:c r="W30" t="str">
        <x:v>Official Verified</x:v>
      </x:c>
      <x:c r="X30" t="str">
        <x:v>2026-09-18</x:v>
      </x:c>
      <x:c r="Y30" t="str">
        <x:v>Generalization / Long-Horizon</x:v>
      </x:c>
      <x:c r="Z30" t="str">
        <x:v>02_Papers/07_Generalization_LongHorizon/RAM.md</x:v>
      </x:c>
      <x:c r="AA30" t="n">
        <x:v>2</x:v>
      </x:c>
      <x:c r="AB30" t="str">
        <x:v>OpenAlex</x:v>
      </x:c>
      <x:c r="AC30" t="str">
        <x:v>2026-09-25</x:v>
      </x:c>
      <x:c r="AD30" t="str">
        <x:v>新任务缺少目标域示范时，机器人如何零样本操作。</x:v>
      </x:c>
      <x:c r="AE30" t="str">
        <x:v>Unknown / Needs Full-Paper Verification</x:v>
      </x:c>
      <x:c r="AF30" t="str">
        <x:v>Unknown / Needs Full-Paper Verification</x:v>
      </x:c>
      <x:c r="AG30" t="str">
        <x:v>已核验摘要未明确说明；需查阅论文方法与实验章节。</x:v>
      </x:c>
      <x:c r="AH30" t="str">
        <x:v>Unknown / Needs Full-Paper Verification</x:v>
      </x:c>
      <x:c r="AI30" t="str">
        <x:v>Unknown / Needs Full-Paper Verification</x:v>
      </x:c>
      <x:c r="AJ30" t="str">
        <x:v>Unknown / Needs Full-Paper Verification</x:v>
      </x:c>
      <x:c r="AK30" t="str">
        <x:v>Unknown / Needs Full-Paper Verification</x:v>
      </x:c>
      <x:c r="AL30" t="str">
        <x:v>Unknown / Needs Full-Paper Verification</x:v>
      </x:c>
      <x:c r="AM30" t="str">
        <x:v>Library Analysis / Research Note: Unknown / Needs Full-Paper Verification</x:v>
      </x:c>
      <x:c r="AN30" t="str">
        <x:v>Unknown / Needs Project-Specific Review</x:v>
      </x:c>
      <x:c r="AO30" t="str">
        <x:v>Unknown</x:v>
      </x:c>
      <x:c r="AP30" t="str">
        <x:v>B</x:v>
      </x:c>
      <x:c r="AQ30"/>
      <x:c r="AR30" t="str">
        <x:v>Unknown / Not Explicitly Reported in the currently accessible sources.</x:v>
      </x:c>
      <x:c r="AS30" t="str">
        <x:v>Unknown / Not Explicitly Reported in the currently accessible sources.</x:v>
      </x:c>
      <x:c r="AT30" t="str">
        <x:v>https://openalex.org/W4400435236</x:v>
      </x:c>
      <x:c r="AU30" t="str">
        <x:v>Unknown</x:v>
      </x:c>
      <x:c r="AV30" t="str">
        <x:v>B-Fulltext-Unavailable</x:v>
      </x:c>
      <x:c r="AW30" t="str">
        <x:v>Not Found</x:v>
      </x:c>
      <x:c r="AX30" t="str">
        <x:v>Unknown</x:v>
      </x:c>
      <x:c r="AY30" t="str">
        <x:v>Unknown</x:v>
      </x:c>
      <x:c r="AZ30" t="str">
        <x:v>https://raw.githubusercontent.com/mlresearch/v270/main/assets/kuang25a/kuang25a.pdf</x:v>
      </x:c>
      <x:c r="BA30" t="str">
        <x:v>No</x:v>
      </x:c>
      <x:c r="BB30" t="str">
        <x:v>No</x:v>
      </x:c>
      <x:c r="BC30" t="str">
        <x:v>No</x:v>
      </x:c>
      <x:c r="BD30" t="str">
        <x:v>No</x:v>
      </x:c>
      <x:c r="BE30" t="str">
        <x:v>No</x:v>
      </x:c>
      <x:c r="BF30" t="str">
        <x:v>No</x:v>
      </x:c>
      <x:c r="BG30" t="str">
        <x:v>No</x:v>
      </x:c>
      <x:c r="BH30" t="str">
        <x:v>Matched</x:v>
      </x:c>
      <x:c r="BI30" t="str">
        <x:v>Not Found After Verification</x:v>
      </x:c>
      <x:c r="BJ30" t="str">
        <x:v>Not Found After Verification</x:v>
      </x:c>
      <x:c r="BK30" t="str">
        <x:v>Audit logged - deep extraction pending</x:v>
      </x:c>
      <x:c r="BL30" t="str">
        <x:v>false</x:v>
      </x:c>
      <x:c r="BM30"/>
      <x:c r="BN30" t="str">
        <x:v>研究问题：新任务缺少目标域示范时，机器人如何零样本操作。；之前方法的问题：为每项任务单独收集示范的成本太高。；核心思路：RAM 检索相关已有行为，再把它迁移到当前物体和操作设置。；为什么重要：展示通过检索复用经验而非每次重训的路径。；与当前项目的关系：Medium：可用于双臂任务的技能复用，但动作适配需验证。；主要局限：检索到的动作若与当前夹爪或物体不匹配，可能无法执行。</x:v>
      </x:c>
      <x:c r="BO30" t="str">
        <x:v>为每项任务单独收集示范的成本太高。</x:v>
      </x:c>
      <x:c r="BP30" t="str">
        <x:v>RAM 检索相关已有行为，再把它迁移到当前物体和操作设置。</x:v>
      </x:c>
      <x:c r="BQ30"/>
      <x:c r="BR30" t="str">
        <x:v>作者报告仿真与真机评测中优于所比较方法；具体数字需查正文。</x:v>
      </x:c>
      <x:c r="BS30" t="str">
        <x:v>展示通过检索复用经验而非每次重训的路径。</x:v>
      </x:c>
      <x:c r="BT30" t="str">
        <x:v>检索到的动作若与当前夹爪或物体不匹配，可能无法执行。</x:v>
      </x:c>
      <x:c r="BU30"/>
      <x:c r="BV30" t="str">
        <x:v>Medium：可用于双臂任务的技能复用，但动作适配需验证。</x:v>
      </x:c>
      <x:c r="BW30" t="str">
        <x:v>OpenAlex 索引摘要; https://api.openalex.org/works/W4400435236; 核验于 2026-09-23. 仅为摘要级速读；原 Evidence Quality 不变。 - 核验层级：摘要有可追溯来源</x:v>
      </x:c>
      <x:c r="BX30" t="str">
        <x:v>final-pdf-author</x:v>
      </x:c>
      <x:c r="BY30" t="n">
        <x:v>0</x:v>
      </x:c>
      <x:c r="BZ30" t="n">
        <x:v>2</x:v>
      </x:c>
    </x:row>
    <x:row r="31" ht="58" customHeight="1">
      <x:c r="A31" t="str">
        <x:v>D030</x:v>
      </x:c>
      <x:c r="B31" t="str">
        <x:v>ManiWAV: Learning Robot Manipulation from In-the-Wild Audio-Visual Data</x:v>
      </x:c>
      <x:c r="C31" t="n">
        <x:v>2024</x:v>
      </x:c>
      <x:c r="D31" t="str">
        <x:v>Method Paper</x:v>
      </x:c>
      <x:c r="E31" t="str">
        <x:v>CoRL</x:v>
      </x:c>
      <x:c r="F31" t="str">
        <x:v>Formal CoRL 2024; PMLR v270 online 2025</x:v>
      </x:c>
      <x:c r="G31" t="str">
        <x:v>Not CCF A (robotics venue extension; CCF row not asserted)</x:v>
      </x:c>
      <x:c r="H31" t="str">
        <x:v>Robot Manipulation / IL / Diffusion</x:v>
      </x:c>
      <x:c r="I31" t="str">
        <x:v>Audio-Visual Data / Robot Policy</x:v>
      </x:c>
      <x:c r="J31" t="str">
        <x:v>Human Video; Audio-Visual Data / Robot Policy</x:v>
      </x:c>
      <x:c r="K31" t="e">
        <x:f>HYPERLINK("https://proceedings.mlr.press/v270/liu24c.html","论文")</x:f>
        <x:v>HYPERLINK is not implemented. linkLocation=https://proceedings.mlr.press/v270/liu24c.html, friendlyName=论文</x:v>
      </x:c>
      <x:c r="L31"/>
      <x:c r="M31"/>
      <x:c r="N31"/>
      <x:c r="O31" t="str">
        <x:v>Unknown</x:v>
      </x:c>
      <x:c r="P31" t="str">
        <x:v>Unknown</x:v>
      </x:c>
      <x:c r="Q31"/>
      <x:c r="R31" t="str">
        <x:v>Unknown</x:v>
      </x:c>
      <x:c r="S31" t="str">
        <x:v>Single Arm</x:v>
      </x:c>
      <x:c r="T31" t="str">
        <x:v>PMLR CoRL Proceedings</x:v>
      </x:c>
      <x:c r="U31" t="str">
        <x:v>P1</x:v>
      </x:c>
      <x:c r="V31" t="str">
        <x:v>Conference year is 2024; PMLR v270 published online in Jan 2025.</x:v>
      </x:c>
      <x:c r="W31" t="str">
        <x:v>Official Verified</x:v>
      </x:c>
      <x:c r="X31" t="str">
        <x:v>2026-09-18</x:v>
      </x:c>
      <x:c r="Y31" t="str">
        <x:v>Data / Teleoperation</x:v>
      </x:c>
      <x:c r="Z31" t="str">
        <x:v>02_Papers/08_Data_Teleoperation/ManiWAV.md</x:v>
      </x:c>
      <x:c r="AA31" t="str">
        <x:v>—</x:v>
      </x:c>
      <x:c r="AB31" t="str">
        <x:v>未可靠匹配</x:v>
      </x:c>
      <x:c r="AC31" t="str">
        <x:v>2026-09-25</x:v>
      </x:c>
      <x:c r="AD31" t="str">
        <x:v>接触声音包含物体和交互信息，但普通示范数据很少记录音频。</x:v>
      </x:c>
      <x:c r="AE31" t="str">
        <x:v>Unknown / Needs Full-Paper Verification</x:v>
      </x:c>
      <x:c r="AF31" t="str">
        <x:v>Unknown / Needs Full-Paper Verification</x:v>
      </x:c>
      <x:c r="AG31" t="str">
        <x:v>已核验摘要未明确说明；需查阅论文方法与实验章节。</x:v>
      </x:c>
      <x:c r="AH31" t="str">
        <x:v>Unknown / Needs Full-Paper Verification</x:v>
      </x:c>
      <x:c r="AI31" t="str">
        <x:v>Unknown / Needs Full-Paper Verification</x:v>
      </x:c>
      <x:c r="AJ31" t="str">
        <x:v>Unknown / Needs Full-Paper Verification</x:v>
      </x:c>
      <x:c r="AK31" t="str">
        <x:v>作者报告利用多样野外示范可迁移到未见环境；具体数字需查论文。</x:v>
      </x:c>
      <x:c r="AL31" t="str">
        <x:v>Unknown / Needs Full-Paper Verification</x:v>
      </x:c>
      <x:c r="AM31" t="str">
        <x:v>Library Analysis / Research Note: Unknown / Needs Full-Paper Verification</x:v>
      </x:c>
      <x:c r="AN31" t="str">
        <x:v>Unknown / Needs Project-Specific Review</x:v>
      </x:c>
      <x:c r="AO31" t="str">
        <x:v>Unknown</x:v>
      </x:c>
      <x:c r="AP31" t="str">
        <x:v>B</x:v>
      </x:c>
      <x:c r="AQ31"/>
      <x:c r="AR31" t="str">
        <x:v>Unknown / Not Explicitly Reported in the currently accessible sources.</x:v>
      </x:c>
      <x:c r="AS31" t="str">
        <x:v>Unknown / Not Explicitly Reported in the currently accessible sources.</x:v>
      </x:c>
      <x:c r="AT31" t="str">
        <x:v>—</x:v>
      </x:c>
      <x:c r="AU31" t="str">
        <x:v>Unknown</x:v>
      </x:c>
      <x:c r="AV31" t="str">
        <x:v>B-Fulltext-Unavailable</x:v>
      </x:c>
      <x:c r="AW31" t="str">
        <x:v>Not Found</x:v>
      </x:c>
      <x:c r="AX31" t="str">
        <x:v>Unknown</x:v>
      </x:c>
      <x:c r="AY31" t="str">
        <x:v>Unknown</x:v>
      </x:c>
      <x:c r="AZ31" t="str">
        <x:v>https://raw.githubusercontent.com/mlresearch/v270/main/assets/liu25c/liu25c.pdf</x:v>
      </x:c>
      <x:c r="BA31" t="str">
        <x:v>No</x:v>
      </x:c>
      <x:c r="BB31" t="str">
        <x:v>No</x:v>
      </x:c>
      <x:c r="BC31" t="str">
        <x:v>No</x:v>
      </x:c>
      <x:c r="BD31" t="str">
        <x:v>No</x:v>
      </x:c>
      <x:c r="BE31" t="str">
        <x:v>No</x:v>
      </x:c>
      <x:c r="BF31" t="str">
        <x:v>No</x:v>
      </x:c>
      <x:c r="BG31" t="str">
        <x:v>No</x:v>
      </x:c>
      <x:c r="BH31" t="str">
        <x:v>Unresolved</x:v>
      </x:c>
      <x:c r="BI31" t="str">
        <x:v>Not Found After Verification</x:v>
      </x:c>
      <x:c r="BJ31" t="str">
        <x:v>Not Found After Verification</x:v>
      </x:c>
      <x:c r="BK31" t="str">
        <x:v>Audit logged - deep extraction pending</x:v>
      </x:c>
      <x:c r="BL31" t="str">
        <x:v>false</x:v>
      </x:c>
      <x:c r="BM31"/>
      <x:c r="BN31" t="str">
        <x:v>研究问题：接触声音包含物体和交互信息，但普通示范数据很少记录音频。；之前方法的问题：只用视觉可能难判断接触是否成功或物体是否滑动。；核心思路：ManiWAV 用 ear-in-hand 装置采集带同步音频的人类野外示范。；主要结果：作者报告利用多样野外示范可迁移到未见环境；具体数字需查论文。；为什么重要：声音可成为普通夹爪动作后成功验证的补充信号。；与当前项目的关系：Medium：取决于本项目是否能低成本采集同步音频。；主要局限：人类示范音频与机器人电机噪声分布不同。</x:v>
      </x:c>
      <x:c r="BO31" t="str">
        <x:v>只用视觉可能难判断接触是否成功或物体是否滑动。</x:v>
      </x:c>
      <x:c r="BP31" t="str">
        <x:v>ManiWAV 用 ear-in-hand 装置采集带同步音频的人类野外示范。</x:v>
      </x:c>
      <x:c r="BQ31"/>
      <x:c r="BR31" t="str">
        <x:v>作者报告利用多样野外示范可迁移到未见环境；具体数字需查论文。</x:v>
      </x:c>
      <x:c r="BS31" t="str">
        <x:v>声音可成为普通夹爪动作后成功验证的补充信号。</x:v>
      </x:c>
      <x:c r="BT31" t="str">
        <x:v>人类示范音频与机器人电机噪声分布不同。</x:v>
      </x:c>
      <x:c r="BU31"/>
      <x:c r="BV31" t="str">
        <x:v>Medium：取决于本项目是否能低成本采集同步音频。</x:v>
      </x:c>
      <x:c r="BW31" t="str">
        <x:v>OpenAlex 索引摘要; https://api.openalex.org/works/W4400222297; 核验于 2026-09-23. 仅为摘要级速读；原 Evidence Quality 不变。 - 核验层级：摘要有可追溯来源</x:v>
      </x:c>
      <x:c r="BX31" t="str">
        <x:v>Unresolved; no reliable citation service count</x:v>
      </x:c>
      <x:c r="BY31" t="n">
        <x:v>0</x:v>
      </x:c>
      <x:c r="BZ31" t="n">
        <x:v>1</x:v>
      </x:c>
    </x:row>
    <x:row r="32" ht="58" customHeight="1">
      <x:c r="A32" t="str">
        <x:v>D031</x:v>
      </x:c>
      <x:c r="B32" t="str">
        <x:v>Dreamitate: Real-World Visuomotor Policy Learning via Video Generation</x:v>
      </x:c>
      <x:c r="C32" t="n">
        <x:v>2024</x:v>
      </x:c>
      <x:c r="D32" t="str">
        <x:v>Method Paper</x:v>
      </x:c>
      <x:c r="E32" t="str">
        <x:v>CoRL</x:v>
      </x:c>
      <x:c r="F32" t="str">
        <x:v>Formal CoRL 2024; PMLR v270 online 2025</x:v>
      </x:c>
      <x:c r="G32" t="str">
        <x:v>Not CCF A (robotics venue extension; CCF row not asserted)</x:v>
      </x:c>
      <x:c r="H32" t="str">
        <x:v>VLA / Robot Foundation Models; Robot Manipulation / IL / Diffusion</x:v>
      </x:c>
      <x:c r="I32" t="str">
        <x:v>Video Generation / Visuomotor Policy</x:v>
      </x:c>
      <x:c r="J32" t="str">
        <x:v>Robot Foundation Models; Video Generation / Visuomotor Policy</x:v>
      </x:c>
      <x:c r="K32" t="e">
        <x:f>HYPERLINK("https://proceedings.mlr.press/v270/liang24a.html","论文")</x:f>
        <x:v>HYPERLINK is not implemented. linkLocation=https://proceedings.mlr.press/v270/liang24a.html, friendlyName=论文</x:v>
      </x:c>
      <x:c r="L32"/>
      <x:c r="M32"/>
      <x:c r="N32"/>
      <x:c r="O32" t="str">
        <x:v>Unknown</x:v>
      </x:c>
      <x:c r="P32" t="str">
        <x:v>Unknown</x:v>
      </x:c>
      <x:c r="Q32"/>
      <x:c r="R32" t="str">
        <x:v>Yes</x:v>
      </x:c>
      <x:c r="S32" t="str">
        <x:v>Single Arm / Parallel Gripper</x:v>
      </x:c>
      <x:c r="T32" t="str">
        <x:v>PMLR CoRL Proceedings</x:v>
      </x:c>
      <x:c r="U32" t="str">
        <x:v>P1</x:v>
      </x:c>
      <x:c r="V32" t="str">
        <x:v>Conference year is 2024; PMLR v270 published online in Jan 2025.</x:v>
      </x:c>
      <x:c r="W32" t="str">
        <x:v>Official Verified</x:v>
      </x:c>
      <x:c r="X32" t="str">
        <x:v>2026-09-18</x:v>
      </x:c>
      <x:c r="Y32" t="str">
        <x:v>Robot Manipulation</x:v>
      </x:c>
      <x:c r="Z32" t="str">
        <x:v>02_Papers/02_Robot_Manipulation/Dreamitate.md</x:v>
      </x:c>
      <x:c r="AA32" t="n">
        <x:v>0</x:v>
      </x:c>
      <x:c r="AB32" t="str">
        <x:v>OpenAlex</x:v>
      </x:c>
      <x:c r="AC32" t="str">
        <x:v>2026-09-25</x:v>
      </x:c>
      <x:c r="AD32" t="str">
        <x:v>机器人模仿学习策略在新视觉环境中往往难以保持稳定表现。</x:v>
      </x:c>
      <x:c r="AE32" t="str">
        <x:v>Unknown / Needs Full-Paper Verification</x:v>
      </x:c>
      <x:c r="AF32" t="str">
        <x:v>Unknown / Needs Full-Paper Verification</x:v>
      </x:c>
      <x:c r="AG32" t="str">
        <x:v>论文评估四项复杂度递增的操作任务；具体任务设置见 CoRL 论文。</x:v>
      </x:c>
      <x:c r="AH32" t="str">
        <x:v>Unknown / Needs Full-Paper Verification</x:v>
      </x:c>
      <x:c r="AI32" t="str">
        <x:v>Unknown / Needs Full-Paper Verification</x:v>
      </x:c>
      <x:c r="AJ32" t="str">
        <x:v>Unknown / Needs Full-Paper Verification</x:v>
      </x:c>
      <x:c r="AK32" t="str">
        <x:v>官方摘要报告比现有行为克隆方法具有更强的视觉环境泛化；摘要未给出统一成功率数字。</x:v>
      </x:c>
      <x:c r="AL32" t="str">
        <x:v>Unknown / Needs Full-Paper Verification</x:v>
      </x:c>
      <x:c r="AM32" t="str">
        <x:v>Library Analysis / Research Note: Unknown / Needs Full-Paper Verification</x:v>
      </x:c>
      <x:c r="AN32" t="str">
        <x:v>Unknown / Needs Project-Specific Review</x:v>
      </x:c>
      <x:c r="AO32" t="str">
        <x:v>Unknown</x:v>
      </x:c>
      <x:c r="AP32" t="str">
        <x:v>B</x:v>
      </x:c>
      <x:c r="AQ32"/>
      <x:c r="AR32" t="str">
        <x:v>Unknown / Not Explicitly Reported in the currently accessible sources.</x:v>
      </x:c>
      <x:c r="AS32" t="str">
        <x:v>Unknown / Not Explicitly Reported in the currently accessible sources.</x:v>
      </x:c>
      <x:c r="AT32" t="str">
        <x:v>https://openalex.org/W4400024954</x:v>
      </x:c>
      <x:c r="AU32" t="str">
        <x:v>Unknown</x:v>
      </x:c>
      <x:c r="AV32" t="str">
        <x:v>B-Fulltext-Unavailable</x:v>
      </x:c>
      <x:c r="AW32" t="str">
        <x:v>Not Found</x:v>
      </x:c>
      <x:c r="AX32" t="str">
        <x:v>Unknown</x:v>
      </x:c>
      <x:c r="AY32" t="str">
        <x:v>Unknown</x:v>
      </x:c>
      <x:c r="AZ32" t="str">
        <x:v>https://raw.githubusercontent.com/mlresearch/v270/main/assets/liang25b/liang25b.pdf</x:v>
      </x:c>
      <x:c r="BA32" t="str">
        <x:v>No</x:v>
      </x:c>
      <x:c r="BB32" t="str">
        <x:v>No</x:v>
      </x:c>
      <x:c r="BC32" t="str">
        <x:v>No</x:v>
      </x:c>
      <x:c r="BD32" t="str">
        <x:v>No</x:v>
      </x:c>
      <x:c r="BE32" t="str">
        <x:v>No</x:v>
      </x:c>
      <x:c r="BF32" t="str">
        <x:v>No</x:v>
      </x:c>
      <x:c r="BG32" t="str">
        <x:v>No</x:v>
      </x:c>
      <x:c r="BH32" t="str">
        <x:v>Matched</x:v>
      </x:c>
      <x:c r="BI32" t="str">
        <x:v>Not Found After Verification</x:v>
      </x:c>
      <x:c r="BJ32" t="str">
        <x:v>Not Found After Verification</x:v>
      </x:c>
      <x:c r="BK32" t="str">
        <x:v>Audit logged - deep extraction pending</x:v>
      </x:c>
      <x:c r="BL32" t="str">
        <x:v>false</x:v>
      </x:c>
      <x:c r="BM32"/>
      <x:c r="BN32" t="str">
        <x:v>研究问题：机器人模仿学习策略在新视觉环境中往往难以保持稳定表现。；之前方法的问题：少量机器人示范不足以覆盖环境外观变化；直接行为克隆的泛化有限。；核心思路：Dreamitate 用人类任务示范微调视频扩散模型，再利用生成的视频辅助学习视觉运动策略。；数据集与评测基准：论文评估四项复杂度递增的操作任务；具体任务设置见 CoRL 论文。；主要结果：官方摘要报告比现有行为克隆方法具有更强的视觉环境泛化；摘要未给出统一成功率数字。；为什么重要：探索大规模视频生成模型如何补充少量机器人示范。；与当前项目的关系：Medium：可借鉴视频到动作的数据利用方式，但双臂普通夹爪需单独验证。；主要局限：已核验摘要未明确列出全部失败情形；需读实验和局限章节。</x:v>
      </x:c>
      <x:c r="BO32" t="str">
        <x:v>少量机器人示范不足以覆盖环境外观变化；直接行为克隆的泛化有限。</x:v>
      </x:c>
      <x:c r="BP32" t="str">
        <x:v>Dreamitate 用人类任务示范微调视频扩散模型，再利用生成的视频辅助学习视觉运动策略。</x:v>
      </x:c>
      <x:c r="BQ32"/>
      <x:c r="BR32" t="str">
        <x:v>官方摘要报告比现有行为克隆方法具有更强的视觉环境泛化；摘要未给出统一成功率数字。</x:v>
      </x:c>
      <x:c r="BS32" t="str">
        <x:v>探索大规模视频生成模型如何补充少量机器人示范。</x:v>
      </x:c>
      <x:c r="BT32" t="str">
        <x:v>已核验摘要未明确列出全部失败情形；需读实验和局限章节。</x:v>
      </x:c>
      <x:c r="BU32"/>
      <x:c r="BV32" t="str">
        <x:v>Medium：可借鉴视频到动作的数据利用方式，但双臂普通夹爪需单独验证。</x:v>
      </x:c>
      <x:c r="BW32" t="str">
        <x:v>官方摘要/论文页; https://arxiv.org/html/2406.16862; 核验于 2026-09-23. 仅为摘要级速读；原 Evidence Quality 不变。 - 核验层级：摘要有可追溯来源</x:v>
      </x:c>
      <x:c r="BX32" t="str">
        <x:v>final-pdf-author</x:v>
      </x:c>
      <x:c r="BY32" t="n">
        <x:v>1</x:v>
      </x:c>
      <x:c r="BZ32" t="n">
        <x:v>1</x:v>
      </x:c>
    </x:row>
    <x:row r="33" ht="58" customHeight="1">
      <x:c r="A33" t="str">
        <x:v>D032</x:v>
      </x:c>
      <x:c r="B33" t="str">
        <x:v>Equivariant Diffusion Policy</x:v>
      </x:c>
      <x:c r="C33" t="n">
        <x:v>2024</x:v>
      </x:c>
      <x:c r="D33" t="str">
        <x:v>Method Paper</x:v>
      </x:c>
      <x:c r="E33" t="str">
        <x:v>CoRL</x:v>
      </x:c>
      <x:c r="F33" t="str">
        <x:v>Formal CoRL 2024; PMLR v270 online 2025</x:v>
      </x:c>
      <x:c r="G33" t="str">
        <x:v>Not CCF A (robotics venue extension; CCF row not asserted)</x:v>
      </x:c>
      <x:c r="H33" t="str">
        <x:v>Robot Manipulation / IL / Diffusion</x:v>
      </x:c>
      <x:c r="I33" t="str">
        <x:v>Equivariant Diffusion Policy</x:v>
      </x:c>
      <x:c r="J33" t="str">
        <x:v>Robot Manipulation; Equivariant Diffusion Policy</x:v>
      </x:c>
      <x:c r="K33" t="e">
        <x:f>HYPERLINK("https://proceedings.mlr.press/v270/wang25a.html","论文")</x:f>
        <x:v>HYPERLINK is not implemented. linkLocation=https://proceedings.mlr.press/v270/wang25a.html, friendlyName=论文</x:v>
      </x:c>
      <x:c r="L33"/>
      <x:c r="M33"/>
      <x:c r="N33"/>
      <x:c r="O33" t="str">
        <x:v>Unknown</x:v>
      </x:c>
      <x:c r="P33" t="str">
        <x:v>Unknown</x:v>
      </x:c>
      <x:c r="Q33"/>
      <x:c r="R33" t="str">
        <x:v>Unknown</x:v>
      </x:c>
      <x:c r="S33" t="str">
        <x:v>Single Arm / Parallel Gripper</x:v>
      </x:c>
      <x:c r="T33" t="str">
        <x:v>PMLR CoRL Proceedings</x:v>
      </x:c>
      <x:c r="U33" t="str">
        <x:v>P1</x:v>
      </x:c>
      <x:c r="V33" t="str">
        <x:v>Conference year is 2024; PMLR v270 published online in Jan 2025.</x:v>
      </x:c>
      <x:c r="W33" t="str">
        <x:v>Official Verified</x:v>
      </x:c>
      <x:c r="X33" t="str">
        <x:v>2026-09-18</x:v>
      </x:c>
      <x:c r="Y33" t="str">
        <x:v>Diffusion / Flow / IL / RL</x:v>
      </x:c>
      <x:c r="Z33" t="str">
        <x:v>02_Papers/06_Diffusion_Flow_IL_RL/Equivariant_Diffusion_Policy.md</x:v>
      </x:c>
      <x:c r="AA33" t="n">
        <x:v>0</x:v>
      </x:c>
      <x:c r="AB33" t="str">
        <x:v>OpenAlex</x:v>
      </x:c>
      <x:c r="AC33" t="str">
        <x:v>2026-09-25</x:v>
      </x:c>
      <x:c r="AD33" t="str">
        <x:v>扩散策略善于表达多种动作，但少量数据下泛化仍有挑战。</x:v>
      </x:c>
      <x:c r="AE33" t="str">
        <x:v>Unknown / Needs Full-Paper Verification</x:v>
      </x:c>
      <x:c r="AF33" t="str">
        <x:v>Unknown / Needs Full-Paper Verification</x:v>
      </x:c>
      <x:c r="AG33" t="str">
        <x:v>已核验摘要未明确说明；需查阅论文方法与实验章节。</x:v>
      </x:c>
      <x:c r="AH33" t="str">
        <x:v>Unknown / Needs Full-Paper Verification</x:v>
      </x:c>
      <x:c r="AI33" t="str">
        <x:v>Unknown / Needs Full-Paper Verification</x:v>
      </x:c>
      <x:c r="AJ33" t="str">
        <x:v>Unknown / Needs Full-Paper Verification</x:v>
      </x:c>
      <x:c r="AK33" t="str">
        <x:v>作者报告在真机系统上可用较少示范学到有效策略；具体数值见原文。</x:v>
      </x:c>
      <x:c r="AL33" t="str">
        <x:v>Unknown / Needs Full-Paper Verification</x:v>
      </x:c>
      <x:c r="AM33" t="str">
        <x:v>Library Analysis / Research Note: Unknown / Needs Full-Paper Verification</x:v>
      </x:c>
      <x:c r="AN33" t="str">
        <x:v>Unknown / Needs Project-Specific Review</x:v>
      </x:c>
      <x:c r="AO33" t="str">
        <x:v>Unknown</x:v>
      </x:c>
      <x:c r="AP33" t="str">
        <x:v>B</x:v>
      </x:c>
      <x:c r="AQ33"/>
      <x:c r="AR33" t="str">
        <x:v>Unknown / Not Explicitly Reported in the currently accessible sources.</x:v>
      </x:c>
      <x:c r="AS33" t="str">
        <x:v>Unknown / Not Explicitly Reported in the currently accessible sources.</x:v>
      </x:c>
      <x:c r="AT33" t="str">
        <x:v>https://openalex.org/W4400377647</x:v>
      </x:c>
      <x:c r="AU33" t="str">
        <x:v>Unknown</x:v>
      </x:c>
      <x:c r="AV33" t="str">
        <x:v>B-Fulltext-Unavailable</x:v>
      </x:c>
      <x:c r="AW33" t="str">
        <x:v>Not Found</x:v>
      </x:c>
      <x:c r="AX33" t="str">
        <x:v>Unknown</x:v>
      </x:c>
      <x:c r="AY33" t="str">
        <x:v>Unknown</x:v>
      </x:c>
      <x:c r="AZ33" t="str">
        <x:v>https://raw.githubusercontent.com/mlresearch/v270/main/assets/wang25a/wang25a.pdf</x:v>
      </x:c>
      <x:c r="BA33" t="str">
        <x:v>No</x:v>
      </x:c>
      <x:c r="BB33" t="str">
        <x:v>No</x:v>
      </x:c>
      <x:c r="BC33" t="str">
        <x:v>No</x:v>
      </x:c>
      <x:c r="BD33" t="str">
        <x:v>No</x:v>
      </x:c>
      <x:c r="BE33" t="str">
        <x:v>No</x:v>
      </x:c>
      <x:c r="BF33" t="str">
        <x:v>No</x:v>
      </x:c>
      <x:c r="BG33" t="str">
        <x:v>No</x:v>
      </x:c>
      <x:c r="BH33" t="str">
        <x:v>Matched</x:v>
      </x:c>
      <x:c r="BI33" t="str">
        <x:v>Not Found After Verification</x:v>
      </x:c>
      <x:c r="BJ33" t="str">
        <x:v>Not Found After Verification</x:v>
      </x:c>
      <x:c r="BK33" t="str">
        <x:v>Audit logged - deep extraction pending</x:v>
      </x:c>
      <x:c r="BL33" t="str">
        <x:v>false</x:v>
      </x:c>
      <x:c r="BM33"/>
      <x:c r="BN33" t="str">
        <x:v>研究问题：扩散策略善于表达多种动作，但少量数据下泛化仍有挑战。；之前方法的问题：不利用任务的几何对称性会增加学习样本需求。；核心思路：Equivariant Diffusion Policy 把空间对称性引入扩散式动作策略。；主要结果：作者报告在真机系统上可用较少示范学到有效策略；具体数值见原文。；为什么重要：将几何先验与生成式动作结合。；与当前项目的关系：Medium：可用于双夹爪空间变化实验。；主要局限：需要核验所假设的对称性在复杂接触和双臂协作中是否成立。</x:v>
      </x:c>
      <x:c r="BO33" t="str">
        <x:v>不利用任务的几何对称性会增加学习样本需求。</x:v>
      </x:c>
      <x:c r="BP33" t="str">
        <x:v>Equivariant Diffusion Policy 把空间对称性引入扩散式动作策略。</x:v>
      </x:c>
      <x:c r="BQ33"/>
      <x:c r="BR33" t="str">
        <x:v>作者报告在真机系统上可用较少示范学到有效策略；具体数值见原文。</x:v>
      </x:c>
      <x:c r="BS33" t="str">
        <x:v>将几何先验与生成式动作结合。</x:v>
      </x:c>
      <x:c r="BT33" t="str">
        <x:v>需要核验所假设的对称性在复杂接触和双臂协作中是否成立。</x:v>
      </x:c>
      <x:c r="BU33"/>
      <x:c r="BV33" t="str">
        <x:v>Medium：可用于双夹爪空间变化实验。</x:v>
      </x:c>
      <x:c r="BW33" t="str">
        <x:v>官方摘要/论文页; https://proceedings.mlr.press/v270/wang25a.html; 核验于 2026-09-23. 仅为摘要级速读；原 Evidence Quality 不变。 - 核验层级：摘要有可追溯来源</x:v>
      </x:c>
      <x:c r="BX33" t="str">
        <x:v>final-title</x:v>
      </x:c>
      <x:c r="BY33" t="n">
        <x:v>0</x:v>
      </x:c>
      <x:c r="BZ33" t="n">
        <x:v>2</x:v>
      </x:c>
    </x:row>
    <x:row r="34" ht="58" customHeight="1">
      <x:c r="A34" t="str">
        <x:v>D033</x:v>
      </x:c>
      <x:c r="B34" t="str">
        <x:v>EquiBot: SIM(3)-Equivariant Diffusion Policy for Generalizable and Data Efficient Learning</x:v>
      </x:c>
      <x:c r="C34" t="n">
        <x:v>2024</x:v>
      </x:c>
      <x:c r="D34" t="str">
        <x:v>Method Paper</x:v>
      </x:c>
      <x:c r="E34" t="str">
        <x:v>CoRL</x:v>
      </x:c>
      <x:c r="F34" t="str">
        <x:v>Formal CoRL 2024; PMLR v270 online 2025</x:v>
      </x:c>
      <x:c r="G34" t="str">
        <x:v>Not CCF A (robotics venue extension; CCF row not asserted)</x:v>
      </x:c>
      <x:c r="H34" t="str">
        <x:v>Robot Manipulation / IL / Diffusion</x:v>
      </x:c>
      <x:c r="I34" t="str">
        <x:v>Diffusion / Generalization / Data Efficiency</x:v>
      </x:c>
      <x:c r="J34" t="str">
        <x:v>Robot Manipulation; Diffusion / Generalization / Data Efficiency</x:v>
      </x:c>
      <x:c r="K34" t="e">
        <x:f>HYPERLINK("https://proceedings.mlr.press/v270/yang25a.html","论文")</x:f>
        <x:v>HYPERLINK is not implemented. linkLocation=https://proceedings.mlr.press/v270/yang25a.html, friendlyName=论文</x:v>
      </x:c>
      <x:c r="L34"/>
      <x:c r="M34"/>
      <x:c r="N34"/>
      <x:c r="O34" t="str">
        <x:v>Unknown</x:v>
      </x:c>
      <x:c r="P34" t="str">
        <x:v>Unknown</x:v>
      </x:c>
      <x:c r="Q34"/>
      <x:c r="R34" t="str">
        <x:v>Unknown</x:v>
      </x:c>
      <x:c r="S34" t="str">
        <x:v>Single Arm / Parallel Gripper</x:v>
      </x:c>
      <x:c r="T34" t="str">
        <x:v>PMLR CoRL Proceedings</x:v>
      </x:c>
      <x:c r="U34" t="str">
        <x:v>P1</x:v>
      </x:c>
      <x:c r="V34" t="str">
        <x:v>Conference year is 2024; PMLR v270 published online in Jan 2025.</x:v>
      </x:c>
      <x:c r="W34" t="str">
        <x:v>Official Verified</x:v>
      </x:c>
      <x:c r="X34" t="str">
        <x:v>2026-09-18</x:v>
      </x:c>
      <x:c r="Y34" t="str">
        <x:v>Diffusion / Flow / IL / RL</x:v>
      </x:c>
      <x:c r="Z34" t="str">
        <x:v>02_Papers/06_Diffusion_Flow_IL_RL/EquiBot.md</x:v>
      </x:c>
      <x:c r="AA34" t="n">
        <x:v>4</x:v>
      </x:c>
      <x:c r="AB34" t="str">
        <x:v>OpenAlex</x:v>
      </x:c>
      <x:c r="AC34" t="str">
        <x:v>2026-09-25</x:v>
      </x:c>
      <x:c r="AD34" t="str">
        <x:v>少量示范条件下，操作策略要面对物体和空间变化。</x:v>
      </x:c>
      <x:c r="AE34" t="str">
        <x:v>Unknown / Needs Full-Paper Verification</x:v>
      </x:c>
      <x:c r="AF34" t="str">
        <x:v>Unknown / Needs Full-Paper Verification</x:v>
      </x:c>
      <x:c r="AG34" t="str">
        <x:v>已核验摘要未明确说明；需查阅论文方法与实验章节。</x:v>
      </x:c>
      <x:c r="AH34" t="str">
        <x:v>Unknown / Needs Full-Paper Verification</x:v>
      </x:c>
      <x:c r="AI34" t="str">
        <x:v>Unknown / Needs Full-Paper Verification</x:v>
      </x:c>
      <x:c r="AJ34" t="str">
        <x:v>Unknown / Needs Full-Paper Verification</x:v>
      </x:c>
      <x:c r="AK34" t="str">
        <x:v>作者报告在六项移动操作任务的多个真机变化中展示泛化；具体数值见论文。</x:v>
      </x:c>
      <x:c r="AL34" t="str">
        <x:v>Unknown / Needs Full-Paper Verification</x:v>
      </x:c>
      <x:c r="AM34" t="str">
        <x:v>Library Analysis / Research Note: Unknown / Needs Full-Paper Verification</x:v>
      </x:c>
      <x:c r="AN34" t="str">
        <x:v>Unknown / Needs Project-Specific Review</x:v>
      </x:c>
      <x:c r="AO34" t="str">
        <x:v>Unknown</x:v>
      </x:c>
      <x:c r="AP34" t="str">
        <x:v>B</x:v>
      </x:c>
      <x:c r="AQ34"/>
      <x:c r="AR34" t="str">
        <x:v>Unknown / Not Explicitly Reported in the currently accessible sources.</x:v>
      </x:c>
      <x:c r="AS34" t="str">
        <x:v>Unknown / Not Explicitly Reported in the currently accessible sources.</x:v>
      </x:c>
      <x:c r="AT34" t="str">
        <x:v>https://openalex.org/W4400373516</x:v>
      </x:c>
      <x:c r="AU34" t="str">
        <x:v>Unknown</x:v>
      </x:c>
      <x:c r="AV34" t="str">
        <x:v>B-Fulltext-Unavailable</x:v>
      </x:c>
      <x:c r="AW34" t="str">
        <x:v>Not Found</x:v>
      </x:c>
      <x:c r="AX34" t="str">
        <x:v>Unknown</x:v>
      </x:c>
      <x:c r="AY34" t="str">
        <x:v>Unknown</x:v>
      </x:c>
      <x:c r="AZ34" t="str">
        <x:v>https://raw.githubusercontent.com/mlresearch/v270/main/assets/yang25a/yang25a.pdf</x:v>
      </x:c>
      <x:c r="BA34" t="str">
        <x:v>No</x:v>
      </x:c>
      <x:c r="BB34" t="str">
        <x:v>No</x:v>
      </x:c>
      <x:c r="BC34" t="str">
        <x:v>No</x:v>
      </x:c>
      <x:c r="BD34" t="str">
        <x:v>No</x:v>
      </x:c>
      <x:c r="BE34" t="str">
        <x:v>No</x:v>
      </x:c>
      <x:c r="BF34" t="str">
        <x:v>No</x:v>
      </x:c>
      <x:c r="BG34" t="str">
        <x:v>No</x:v>
      </x:c>
      <x:c r="BH34" t="str">
        <x:v>Matched</x:v>
      </x:c>
      <x:c r="BI34" t="str">
        <x:v>Not Found After Verification</x:v>
      </x:c>
      <x:c r="BJ34" t="str">
        <x:v>Not Found After Verification</x:v>
      </x:c>
      <x:c r="BK34" t="str">
        <x:v>Audit logged - deep extraction pending</x:v>
      </x:c>
      <x:c r="BL34" t="str">
        <x:v>false</x:v>
      </x:c>
      <x:c r="BM34"/>
      <x:c r="BN34" t="str">
        <x:v>研究问题：少量示范条件下，操作策略要面对物体和空间变化。；之前方法的问题：普通网络不一定充分利用旋转、平移等几何对称性。；核心思路：EquiBot 在模仿学习策略中加入等变结构，提高数据效率和空间泛化。；主要结果：作者报告在六项移动操作任务的多个真机变化中展示泛化；具体数值见论文。；为什么重要：提供以结构先验替代部分示范数据的路线。；与当前项目的关系：Medium：双臂空间变化可能受益，但平台不同。；主要局限：移动操作结果不能直接替代普通夹爪双臂评测。</x:v>
      </x:c>
      <x:c r="BO34" t="str">
        <x:v>普通网络不一定充分利用旋转、平移等几何对称性。</x:v>
      </x:c>
      <x:c r="BP34" t="str">
        <x:v>EquiBot 在模仿学习策略中加入等变结构，提高数据效率和空间泛化。</x:v>
      </x:c>
      <x:c r="BQ34"/>
      <x:c r="BR34" t="str">
        <x:v>作者报告在六项移动操作任务的多个真机变化中展示泛化；具体数值见论文。</x:v>
      </x:c>
      <x:c r="BS34" t="str">
        <x:v>提供以结构先验替代部分示范数据的路线。</x:v>
      </x:c>
      <x:c r="BT34" t="str">
        <x:v>移动操作结果不能直接替代普通夹爪双臂评测。</x:v>
      </x:c>
      <x:c r="BU34"/>
      <x:c r="BV34" t="str">
        <x:v>Medium：双臂空间变化可能受益，但平台不同。</x:v>
      </x:c>
      <x:c r="BW34" t="str">
        <x:v>官方摘要/论文页; https://proceedings.mlr.press/v270/yang25a.html; 核验于 2026-09-23. 仅为摘要级速读；原 Evidence Quality 不变。 - 核验层级：摘要有可追溯来源</x:v>
      </x:c>
      <x:c r="BX34" t="str">
        <x:v>final-title</x:v>
      </x:c>
      <x:c r="BY34" t="n">
        <x:v>0</x:v>
      </x:c>
      <x:c r="BZ34" t="n">
        <x:v>1</x:v>
      </x:c>
    </x:row>
    <x:row r="35" ht="58" customHeight="1">
      <x:c r="A35" t="str">
        <x:v>D034</x:v>
      </x:c>
      <x:c r="B35" t="str">
        <x:v>3D Diffuser Actor: Policy Diffusion with 3D Scene Representations</x:v>
      </x:c>
      <x:c r="C35" t="n">
        <x:v>2024</x:v>
      </x:c>
      <x:c r="D35" t="str">
        <x:v>Method Paper</x:v>
      </x:c>
      <x:c r="E35" t="str">
        <x:v>CoRL</x:v>
      </x:c>
      <x:c r="F35" t="str">
        <x:v>Formal CoRL 2024; PMLR v270 online 2025</x:v>
      </x:c>
      <x:c r="G35" t="str">
        <x:v>Not CCF A (robotics venue extension; CCF row not asserted)</x:v>
      </x:c>
      <x:c r="H35" t="str">
        <x:v>Robot Manipulation / IL / Diffusion</x:v>
      </x:c>
      <x:c r="I35" t="str">
        <x:v>3D Scene / Diffusion</x:v>
      </x:c>
      <x:c r="J35" t="str">
        <x:v>Robot Manipulation; 3D Scene / Diffusion</x:v>
      </x:c>
      <x:c r="K35" t="e">
        <x:f>HYPERLINK("https://proceedings.mlr.press/v270/ke25a.html","论文")</x:f>
        <x:v>HYPERLINK is not implemented. linkLocation=https://proceedings.mlr.press/v270/ke25a.html, friendlyName=论文</x:v>
      </x:c>
      <x:c r="L35"/>
      <x:c r="M35"/>
      <x:c r="N35"/>
      <x:c r="O35" t="str">
        <x:v>Unknown</x:v>
      </x:c>
      <x:c r="P35" t="str">
        <x:v>Unknown</x:v>
      </x:c>
      <x:c r="Q35"/>
      <x:c r="R35" t="str">
        <x:v>Unknown</x:v>
      </x:c>
      <x:c r="S35" t="str">
        <x:v>Single Arm / Parallel Gripper</x:v>
      </x:c>
      <x:c r="T35" t="str">
        <x:v>PMLR CoRL Proceedings</x:v>
      </x:c>
      <x:c r="U35" t="str">
        <x:v>P1</x:v>
      </x:c>
      <x:c r="V35" t="str">
        <x:v>Conference year is 2024; PMLR v270 published online in Jan 2025.</x:v>
      </x:c>
      <x:c r="W35" t="str">
        <x:v>Official Verified</x:v>
      </x:c>
      <x:c r="X35" t="str">
        <x:v>2026-09-18</x:v>
      </x:c>
      <x:c r="Y35" t="str">
        <x:v>Diffusion / Flow / IL / RL</x:v>
      </x:c>
      <x:c r="Z35" t="str">
        <x:v>02_Papers/06_Diffusion_Flow_IL_RL/3D_Diffuser_Actor.md</x:v>
      </x:c>
      <x:c r="AA35" t="n">
        <x:v>4</x:v>
      </x:c>
      <x:c r="AB35" t="str">
        <x:v>OpenAlex</x:v>
      </x:c>
      <x:c r="AC35" t="str">
        <x:v>2026-09-25</x:v>
      </x:c>
      <x:c r="AD35" t="str">
        <x:v>机器人动作有多种合理解，二维图像策略对三维几何理解不足。</x:v>
      </x:c>
      <x:c r="AE35" t="str">
        <x:v>Unknown / Needs Full-Paper Verification</x:v>
      </x:c>
      <x:c r="AF35" t="str">
        <x:v>Unknown / Needs Full-Paper Verification</x:v>
      </x:c>
      <x:c r="AG35" t="str">
        <x:v>已核验摘要未明确说明；需查阅论文方法与实验章节。</x:v>
      </x:c>
      <x:c r="AH35" t="str">
        <x:v>Unknown / Needs Full-Paper Verification</x:v>
      </x:c>
      <x:c r="AI35" t="str">
        <x:v>Unknown / Needs Full-Paper Verification</x:v>
      </x:c>
      <x:c r="AJ35" t="str">
        <x:v>Unknown / Needs Full-Paper Verification</x:v>
      </x:c>
      <x:c r="AK35" t="str">
        <x:v>论文报告与二维表示、回归及其他设计的消融比较，完整数字应以原论文表格为准。</x:v>
      </x:c>
      <x:c r="AL35" t="str">
        <x:v>Unknown / Needs Full-Paper Verification</x:v>
      </x:c>
      <x:c r="AM35" t="str">
        <x:v>Library Analysis / Research Note: Unknown / Needs Full-Paper Verification</x:v>
      </x:c>
      <x:c r="AN35" t="str">
        <x:v>Unknown / Needs Project-Specific Review</x:v>
      </x:c>
      <x:c r="AO35" t="str">
        <x:v>Unknown</x:v>
      </x:c>
      <x:c r="AP35" t="str">
        <x:v>B</x:v>
      </x:c>
      <x:c r="AQ35"/>
      <x:c r="AR35" t="str">
        <x:v>Unknown / Not Explicitly Reported in the currently accessible sources.</x:v>
      </x:c>
      <x:c r="AS35" t="str">
        <x:v>Unknown / Not Explicitly Reported in the currently accessible sources.</x:v>
      </x:c>
      <x:c r="AT35" t="str">
        <x:v>https://openalex.org/W4391949089</x:v>
      </x:c>
      <x:c r="AU35" t="str">
        <x:v>Unknown</x:v>
      </x:c>
      <x:c r="AV35" t="str">
        <x:v>B-Fulltext-Unavailable</x:v>
      </x:c>
      <x:c r="AW35" t="str">
        <x:v>Not Found</x:v>
      </x:c>
      <x:c r="AX35" t="str">
        <x:v>Unknown</x:v>
      </x:c>
      <x:c r="AY35" t="str">
        <x:v>Unknown</x:v>
      </x:c>
      <x:c r="AZ35" t="str">
        <x:v>https://raw.githubusercontent.com/mlresearch/v270/main/assets/ke25a/ke25a.pdf</x:v>
      </x:c>
      <x:c r="BA35" t="str">
        <x:v>No</x:v>
      </x:c>
      <x:c r="BB35" t="str">
        <x:v>No</x:v>
      </x:c>
      <x:c r="BC35" t="str">
        <x:v>No</x:v>
      </x:c>
      <x:c r="BD35" t="str">
        <x:v>No</x:v>
      </x:c>
      <x:c r="BE35" t="str">
        <x:v>No</x:v>
      </x:c>
      <x:c r="BF35" t="str">
        <x:v>No</x:v>
      </x:c>
      <x:c r="BG35" t="str">
        <x:v>No</x:v>
      </x:c>
      <x:c r="BH35" t="str">
        <x:v>Matched</x:v>
      </x:c>
      <x:c r="BI35" t="str">
        <x:v>Not Found After Verification</x:v>
      </x:c>
      <x:c r="BJ35" t="str">
        <x:v>Not Found After Verification</x:v>
      </x:c>
      <x:c r="BK35" t="str">
        <x:v>Audit logged - deep extraction pending</x:v>
      </x:c>
      <x:c r="BL35" t="str">
        <x:v>false</x:v>
      </x:c>
      <x:c r="BM35"/>
      <x:c r="BN35" t="str">
        <x:v>研究问题：机器人动作有多种合理解，二维图像策略对三维几何理解不足。；之前方法的问题：直接回归动作或只用二维表示，可能难以表达多模态三维操作。；核心思路：3D Diffuser Actor 在三维场景表示上生成动作，并通过扩散模型刻画多种可行轨迹。；主要结果：论文报告与二维表示、回归及其他设计的消融比较，完整数字应以原论文表格为准。；为什么重要：是比较三维感知与生成式动作的基础方法。；与当前项目的关系：High：可为双普通夹爪的三维目标位姿生成提供基线。；主要局限：摘要不足以判断不同真机接触和双臂协调任务的完整覆盖。</x:v>
      </x:c>
      <x:c r="BO35" t="str">
        <x:v>直接回归动作或只用二维表示，可能难以表达多模态三维操作。</x:v>
      </x:c>
      <x:c r="BP35" t="str">
        <x:v>3D Diffuser Actor 在三维场景表示上生成动作，并通过扩散模型刻画多种可行轨迹。</x:v>
      </x:c>
      <x:c r="BQ35"/>
      <x:c r="BR35" t="str">
        <x:v>论文报告与二维表示、回归及其他设计的消融比较，完整数字应以原论文表格为准。</x:v>
      </x:c>
      <x:c r="BS35" t="str">
        <x:v>是比较三维感知与生成式动作的基础方法。</x:v>
      </x:c>
      <x:c r="BT35" t="str">
        <x:v>摘要不足以判断不同真机接触和双臂协调任务的完整覆盖。</x:v>
      </x:c>
      <x:c r="BU35"/>
      <x:c r="BV35" t="str">
        <x:v>High：可为双普通夹爪的三维目标位姿生成提供基线。</x:v>
      </x:c>
      <x:c r="BW35" t="str">
        <x:v>官方摘要/论文页; https://proceedings.mlr.press/v270/ke25a.html; 核验于 2026-09-23. 仅为摘要级速读；原 Evidence Quality 不变。 - 核验层级：摘要有可追溯来源</x:v>
      </x:c>
      <x:c r="BX35" t="str">
        <x:v>final-title</x:v>
      </x:c>
      <x:c r="BY35" t="n">
        <x:v>0</x:v>
      </x:c>
      <x:c r="BZ35" t="n">
        <x:v>6</x:v>
      </x:c>
    </x:row>
    <x:row r="36" ht="58" customHeight="1">
      <x:c r="A36" t="str">
        <x:v>D035</x:v>
      </x:c>
      <x:c r="B36" t="str">
        <x:v>BiGym: A Demo-Driven Mobile Bi-Manual Manipulation Benchmark</x:v>
      </x:c>
      <x:c r="C36" t="n">
        <x:v>2024</x:v>
      </x:c>
      <x:c r="D36" t="str">
        <x:v>System / Platform</x:v>
      </x:c>
      <x:c r="E36" t="str">
        <x:v>CoRL</x:v>
      </x:c>
      <x:c r="F36" t="str">
        <x:v>Formal CoRL 2024; PMLR v270 online 2025</x:v>
      </x:c>
      <x:c r="G36" t="str">
        <x:v>Not CCF A (robotics venue extension; CCF row not asserted)</x:v>
      </x:c>
      <x:c r="H36" t="str">
        <x:v>Bimanual; Dataset / Benchmark</x:v>
      </x:c>
      <x:c r="I36" t="str">
        <x:v>Mobile Manipulation / Benchmark</x:v>
      </x:c>
      <x:c r="J36" t="str">
        <x:v>Bimanual Manipulation; Mobile Manipulation / Benchmark</x:v>
      </x:c>
      <x:c r="K36" t="e">
        <x:f>HYPERLINK("https://proceedings.mlr.press/v270/chernyadev25a.html","论文")</x:f>
        <x:v>HYPERLINK is not implemented. linkLocation=https://proceedings.mlr.press/v270/chernyadev25a.html, friendlyName=论文</x:v>
      </x:c>
      <x:c r="L36"/>
      <x:c r="M36"/>
      <x:c r="N36"/>
      <x:c r="O36" t="str">
        <x:v>Unknown</x:v>
      </x:c>
      <x:c r="P36" t="str">
        <x:v>Unknown</x:v>
      </x:c>
      <x:c r="Q36"/>
      <x:c r="R36" t="str">
        <x:v>Unknown</x:v>
      </x:c>
      <x:c r="S36" t="str">
        <x:v>Bimanual / Mobile Manipulator</x:v>
      </x:c>
      <x:c r="T36" t="str">
        <x:v>PMLR CoRL Proceedings</x:v>
      </x:c>
      <x:c r="U36" t="str">
        <x:v>P1</x:v>
      </x:c>
      <x:c r="V36" t="str">
        <x:v>Conference year is 2024; PMLR v270 published online in Jan 2025.</x:v>
      </x:c>
      <x:c r="W36" t="str">
        <x:v>Official Verified</x:v>
      </x:c>
      <x:c r="X36" t="str">
        <x:v>2026-09-18</x:v>
      </x:c>
      <x:c r="Y36" t="str">
        <x:v>Benchmark / Dataset</x:v>
      </x:c>
      <x:c r="Z36" t="str">
        <x:v>02_Papers/10_Benchmark_Dataset/BiGym.md</x:v>
      </x:c>
      <x:c r="AA36" t="n">
        <x:v>0</x:v>
      </x:c>
      <x:c r="AB36" t="str">
        <x:v>OpenAlex</x:v>
      </x:c>
      <x:c r="AC36" t="str">
        <x:v>2026-09-25</x:v>
      </x:c>
      <x:c r="AD36" t="str">
        <x:v>缺少覆盖家庭场景移动双臂操作的示范驱动学习基准。</x:v>
      </x:c>
      <x:c r="AE36" t="str">
        <x:v>Unknown / Needs Full-Paper Verification</x:v>
      </x:c>
      <x:c r="AF36" t="str">
        <x:v>Unknown / Needs Full-Paper Verification</x:v>
      </x:c>
      <x:c r="AG36" t="str">
        <x:v>BiGym：40 项家庭环境任务；示范规模与具体划分需查正文。</x:v>
      </x:c>
      <x:c r="AH36" t="str">
        <x:v>Unknown / Needs Full-Paper Verification</x:v>
      </x:c>
      <x:c r="AI36" t="str">
        <x:v>Unknown / Needs Full-Paper Verification</x:v>
      </x:c>
      <x:c r="AJ36" t="str">
        <x:v>Unknown / Needs Full-Paper Verification</x:v>
      </x:c>
      <x:c r="AK36" t="str">
        <x:v>摘要支持 40 项任务这一规模；具体算法胜率需查实验表格。</x:v>
      </x:c>
      <x:c r="AL36" t="str">
        <x:v>Unknown / Needs Full-Paper Verification</x:v>
      </x:c>
      <x:c r="AM36" t="str">
        <x:v>Library Analysis / Research Note: Unknown / Needs Full-Paper Verification</x:v>
      </x:c>
      <x:c r="AN36" t="str">
        <x:v>Unknown / Needs Project-Specific Review</x:v>
      </x:c>
      <x:c r="AO36" t="str">
        <x:v>Unknown</x:v>
      </x:c>
      <x:c r="AP36" t="str">
        <x:v>B</x:v>
      </x:c>
      <x:c r="AQ36"/>
      <x:c r="AR36" t="str">
        <x:v>Unknown / Not Explicitly Reported in the currently accessible sources.</x:v>
      </x:c>
      <x:c r="AS36" t="str">
        <x:v>Unknown / Not Explicitly Reported in the currently accessible sources.</x:v>
      </x:c>
      <x:c r="AT36" t="str">
        <x:v>https://openalex.org/W4400611211</x:v>
      </x:c>
      <x:c r="AU36" t="str">
        <x:v>Unknown</x:v>
      </x:c>
      <x:c r="AV36" t="str">
        <x:v>B-Fulltext-Unavailable</x:v>
      </x:c>
      <x:c r="AW36" t="str">
        <x:v>Not Found</x:v>
      </x:c>
      <x:c r="AX36" t="str">
        <x:v>Unknown</x:v>
      </x:c>
      <x:c r="AY36" t="str">
        <x:v>Unknown</x:v>
      </x:c>
      <x:c r="AZ36" t="str">
        <x:v>https://raw.githubusercontent.com/mlresearch/v270/main/assets/chernyadev25a/chernyadev25a.pdf</x:v>
      </x:c>
      <x:c r="BA36" t="str">
        <x:v>No</x:v>
      </x:c>
      <x:c r="BB36" t="str">
        <x:v>No</x:v>
      </x:c>
      <x:c r="BC36" t="str">
        <x:v>No</x:v>
      </x:c>
      <x:c r="BD36" t="str">
        <x:v>No</x:v>
      </x:c>
      <x:c r="BE36" t="str">
        <x:v>No</x:v>
      </x:c>
      <x:c r="BF36" t="str">
        <x:v>No</x:v>
      </x:c>
      <x:c r="BG36" t="str">
        <x:v>No</x:v>
      </x:c>
      <x:c r="BH36" t="str">
        <x:v>Matched</x:v>
      </x:c>
      <x:c r="BI36" t="str">
        <x:v>Not Found After Verification</x:v>
      </x:c>
      <x:c r="BJ36" t="str">
        <x:v>Not Found After Verification</x:v>
      </x:c>
      <x:c r="BK36" t="str">
        <x:v>Audit logged - deep extraction pending</x:v>
      </x:c>
      <x:c r="BL36" t="str">
        <x:v>false</x:v>
      </x:c>
      <x:c r="BM36"/>
      <x:c r="BN36" t="str">
        <x:v>研究问题：缺少覆盖家庭场景移动双臂操作的示范驱动学习基准。；核心思路：BiGym 提供移动双臂学习环境，包含从目标触达到厨房清理的 40 项任务。；主要结果：摘要支持 40 项任务这一规模；具体算法胜率需查实验表格。；为什么重要：将双臂协作、移动性和家庭长程任务放在同一评测入口。；与当前项目的关系：High：适合筛选普通夹爪双臂任务及示范学习基线。；主要局限：是否能迁移至本项目固定平台与硬件配置，摘要不能确定。</x:v>
      </x:c>
      <x:c r="BO36" t="str">
        <x:v>已核验摘要未明确说明；需查阅论文方法与实验章节。</x:v>
      </x:c>
      <x:c r="BP36" t="str">
        <x:v>BiGym 提供移动双臂学习环境，包含从目标触达到厨房清理的 40 项任务。</x:v>
      </x:c>
      <x:c r="BQ36"/>
      <x:c r="BR36" t="str">
        <x:v>摘要支持 40 项任务这一规模；具体算法胜率需查实验表格。</x:v>
      </x:c>
      <x:c r="BS36" t="str">
        <x:v>将双臂协作、移动性和家庭长程任务放在同一评测入口。</x:v>
      </x:c>
      <x:c r="BT36" t="str">
        <x:v>是否能迁移至本项目固定平台与硬件配置，摘要不能确定。</x:v>
      </x:c>
      <x:c r="BU36"/>
      <x:c r="BV36" t="str">
        <x:v>High：适合筛选普通夹爪双臂任务及示范学习基线。</x:v>
      </x:c>
      <x:c r="BW36" t="str">
        <x:v>官方摘要/论文页; https://proceedings.mlr.press/v270/chernyadev25a.html; 核验于 2026-09-23. 仅为摘要级速读；原 Evidence Quality 不变。 - 核验层级：摘要有可追溯来源</x:v>
      </x:c>
      <x:c r="BX36" t="str">
        <x:v>final-title</x:v>
      </x:c>
      <x:c r="BY36" t="n">
        <x:v>0</x:v>
      </x:c>
      <x:c r="BZ36" t="n">
        <x:v>1</x:v>
      </x:c>
    </x:row>
    <x:row r="37" ht="58" customHeight="1">
      <x:c r="A37" t="str">
        <x:v>D036</x:v>
      </x:c>
      <x:c r="B37" t="str">
        <x:v>VoxAct-B: Voxel-Based Acting and Stabilizing Policy for Bimanual Manipulation</x:v>
      </x:c>
      <x:c r="C37" t="n">
        <x:v>2024</x:v>
      </x:c>
      <x:c r="D37" t="str">
        <x:v>Method Paper</x:v>
      </x:c>
      <x:c r="E37" t="str">
        <x:v>CoRL</x:v>
      </x:c>
      <x:c r="F37" t="str">
        <x:v>Formal CoRL 2024; PMLR v270 online 2025</x:v>
      </x:c>
      <x:c r="G37" t="str">
        <x:v>Not CCF A (robotics venue extension; CCF row not asserted)</x:v>
      </x:c>
      <x:c r="H37" t="str">
        <x:v>Robot Manipulation / IL / Diffusion; Bimanual</x:v>
      </x:c>
      <x:c r="I37" t="str">
        <x:v>Voxel / Bimanual Policy</x:v>
      </x:c>
      <x:c r="J37" t="str">
        <x:v>Bimanual Manipulation; Voxel / Bimanual Policy</x:v>
      </x:c>
      <x:c r="K37" t="e">
        <x:f>HYPERLINK("https://proceedings.mlr.press/v270/liu25i.html","论文")</x:f>
        <x:v>HYPERLINK is not implemented. linkLocation=https://proceedings.mlr.press/v270/liu25i.html, friendlyName=论文</x:v>
      </x:c>
      <x:c r="L37"/>
      <x:c r="M37"/>
      <x:c r="N37"/>
      <x:c r="O37" t="str">
        <x:v>Unknown</x:v>
      </x:c>
      <x:c r="P37" t="str">
        <x:v>Unknown</x:v>
      </x:c>
      <x:c r="Q37"/>
      <x:c r="R37" t="str">
        <x:v>Unknown</x:v>
      </x:c>
      <x:c r="S37" t="str">
        <x:v>Bimanual / Parallel Gripper</x:v>
      </x:c>
      <x:c r="T37" t="str">
        <x:v>PMLR CoRL Proceedings</x:v>
      </x:c>
      <x:c r="U37" t="str">
        <x:v>P1</x:v>
      </x:c>
      <x:c r="V37" t="str">
        <x:v>Conference year is 2024; PMLR v270 published online in Jan 2025.</x:v>
      </x:c>
      <x:c r="W37" t="str">
        <x:v>Official Verified</x:v>
      </x:c>
      <x:c r="X37" t="str">
        <x:v>2026-09-18</x:v>
      </x:c>
      <x:c r="Y37" t="str">
        <x:v>Bimanual</x:v>
      </x:c>
      <x:c r="Z37" t="str">
        <x:v>02_Papers/03_Bimanual/VoxAct-B.md</x:v>
      </x:c>
      <x:c r="AA37" t="n">
        <x:v>1</x:v>
      </x:c>
      <x:c r="AB37" t="str">
        <x:v>OpenAlex</x:v>
      </x:c>
      <x:c r="AC37" t="str">
        <x:v>2026-09-25</x:v>
      </x:c>
      <x:c r="AD37" t="str">
        <x:v>细粒度双臂操作需要在三维场景中同时定位两只手的关键区域。</x:v>
      </x:c>
      <x:c r="AE37" t="str">
        <x:v>Unknown / Needs Full-Paper Verification</x:v>
      </x:c>
      <x:c r="AF37" t="str">
        <x:v>Unknown / Needs Full-Paper Verification</x:v>
      </x:c>
      <x:c r="AG37" t="str">
        <x:v>仿真细粒度双臂任务；真机覆盖需进一步核验。</x:v>
      </x:c>
      <x:c r="AH37" t="str">
        <x:v>Unknown / Needs Full-Paper Verification</x:v>
      </x:c>
      <x:c r="AI37" t="str">
        <x:v>Unknown / Needs Full-Paper Verification</x:v>
      </x:c>
      <x:c r="AJ37" t="str">
        <x:v>Unknown / Needs Full-Paper Verification</x:v>
      </x:c>
      <x:c r="AK37" t="str">
        <x:v>作者报告在仿真任务上优于所比较基线；摘要未给统一量化值。</x:v>
      </x:c>
      <x:c r="AL37" t="str">
        <x:v>Unknown / Needs Full-Paper Verification</x:v>
      </x:c>
      <x:c r="AM37" t="str">
        <x:v>Library Analysis / Research Note: Unknown / Needs Full-Paper Verification</x:v>
      </x:c>
      <x:c r="AN37" t="str">
        <x:v>Unknown / Needs Project-Specific Review</x:v>
      </x:c>
      <x:c r="AO37" t="str">
        <x:v>Unknown</x:v>
      </x:c>
      <x:c r="AP37" t="str">
        <x:v>B</x:v>
      </x:c>
      <x:c r="AQ37"/>
      <x:c r="AR37" t="str">
        <x:v>Unknown / Not Explicitly Reported in the currently accessible sources.</x:v>
      </x:c>
      <x:c r="AS37" t="str">
        <x:v>Unknown / Not Explicitly Reported in the currently accessible sources.</x:v>
      </x:c>
      <x:c r="AT37" t="str">
        <x:v>https://openalex.org/W4400434472</x:v>
      </x:c>
      <x:c r="AU37" t="str">
        <x:v>Unknown</x:v>
      </x:c>
      <x:c r="AV37" t="str">
        <x:v>B-Fulltext-Unavailable</x:v>
      </x:c>
      <x:c r="AW37" t="str">
        <x:v>Not Found</x:v>
      </x:c>
      <x:c r="AX37" t="str">
        <x:v>Unknown</x:v>
      </x:c>
      <x:c r="AY37" t="str">
        <x:v>Unknown</x:v>
      </x:c>
      <x:c r="AZ37" t="str">
        <x:v>https://raw.githubusercontent.com/mlresearch/v270/main/assets/liu25i/liu25i.pdf</x:v>
      </x:c>
      <x:c r="BA37" t="str">
        <x:v>No</x:v>
      </x:c>
      <x:c r="BB37" t="str">
        <x:v>No</x:v>
      </x:c>
      <x:c r="BC37" t="str">
        <x:v>No</x:v>
      </x:c>
      <x:c r="BD37" t="str">
        <x:v>No</x:v>
      </x:c>
      <x:c r="BE37" t="str">
        <x:v>No</x:v>
      </x:c>
      <x:c r="BF37" t="str">
        <x:v>No</x:v>
      </x:c>
      <x:c r="BG37" t="str">
        <x:v>No</x:v>
      </x:c>
      <x:c r="BH37" t="str">
        <x:v>Matched</x:v>
      </x:c>
      <x:c r="BI37" t="str">
        <x:v>Not Found After Verification</x:v>
      </x:c>
      <x:c r="BJ37" t="str">
        <x:v>Not Found After Verification</x:v>
      </x:c>
      <x:c r="BK37" t="str">
        <x:v>Audit logged - deep extraction pending</x:v>
      </x:c>
      <x:c r="BL37" t="str">
        <x:v>false</x:v>
      </x:c>
      <x:c r="BM37"/>
      <x:c r="BN37" t="str">
        <x:v>研究问题：细粒度双臂操作需要在三维场景中同时定位两只手的关键区域。；之前方法的问题：直接从全局图像预测高维双臂动作，可能忽略局部空间线索。；核心思路：VoxAct-B 用 VLM 关注关键区域，再在体素空间中生成语言条件的双臂动作。；数据集与评测基准：仿真细粒度双臂任务；真机覆盖需进一步核验。；主要结果：作者报告在仿真任务上优于所比较基线；摘要未给统一量化值。；为什么重要：把视觉目标定位与双臂三维动作表示连接起来。；与当前项目的关系：High：可参考两只普通夹爪的空间目标表示。；主要局限：体素分辨率与真机延迟、遮挡和接触误差需验证。</x:v>
      </x:c>
      <x:c r="BO37" t="str">
        <x:v>直接从全局图像预测高维双臂动作，可能忽略局部空间线索。</x:v>
      </x:c>
      <x:c r="BP37" t="str">
        <x:v>VoxAct-B 用 VLM 关注关键区域，再在体素空间中生成语言条件的双臂动作。</x:v>
      </x:c>
      <x:c r="BQ37"/>
      <x:c r="BR37" t="str">
        <x:v>作者报告在仿真任务上优于所比较基线；摘要未给统一量化值。</x:v>
      </x:c>
      <x:c r="BS37" t="str">
        <x:v>把视觉目标定位与双臂三维动作表示连接起来。</x:v>
      </x:c>
      <x:c r="BT37" t="str">
        <x:v>体素分辨率与真机延迟、遮挡和接触误差需验证。</x:v>
      </x:c>
      <x:c r="BU37"/>
      <x:c r="BV37" t="str">
        <x:v>High：可参考两只普通夹爪的空间目标表示。</x:v>
      </x:c>
      <x:c r="BW37" t="str">
        <x:v>官方摘要/论文页; https://proceedings.mlr.press/v270/liu25i.html; 核验于 2026-09-23. 仅为摘要级速读；原 Evidence Quality 不变。 - 核验层级：摘要有可追溯来源</x:v>
      </x:c>
      <x:c r="BX37" t="str">
        <x:v>final-title</x:v>
      </x:c>
      <x:c r="BY37" t="n">
        <x:v>0</x:v>
      </x:c>
      <x:c r="BZ37" t="n">
        <x:v>2</x:v>
      </x:c>
    </x:row>
    <x:row r="38" ht="58" customHeight="1">
      <x:c r="A38" t="str">
        <x:v>D037</x:v>
      </x:c>
      <x:c r="B38" t="str">
        <x:v>Mobile ALOHA: Learning Bimanual Mobile Manipulation Using Low-Cost Whole-Body Teleoperation</x:v>
      </x:c>
      <x:c r="C38" t="n">
        <x:v>2024</x:v>
      </x:c>
      <x:c r="D38" t="str">
        <x:v>System / Platform</x:v>
      </x:c>
      <x:c r="E38" t="str">
        <x:v>CoRL</x:v>
      </x:c>
      <x:c r="F38" t="str">
        <x:v>Formal CoRL 2024; PMLR v270 online 2025</x:v>
      </x:c>
      <x:c r="G38" t="str">
        <x:v>Not CCF A (robotics venue extension; CCF row not asserted)</x:v>
      </x:c>
      <x:c r="H38" t="str">
        <x:v>Robot Manipulation / IL / Diffusion; Bimanual</x:v>
      </x:c>
      <x:c r="I38" t="str">
        <x:v>Teleoperation / Imitation Learning</x:v>
      </x:c>
      <x:c r="J38" t="str">
        <x:v>Bimanual Manipulation; Teleoperation / Imitation Learning</x:v>
      </x:c>
      <x:c r="K38" t="e">
        <x:f>HYPERLINK("https://proceedings.mlr.press/v270/fu25b.html","论文")</x:f>
        <x:v>HYPERLINK is not implemented. linkLocation=https://proceedings.mlr.press/v270/fu25b.html, friendlyName=论文</x:v>
      </x:c>
      <x:c r="L38"/>
      <x:c r="M38"/>
      <x:c r="N38"/>
      <x:c r="O38" t="str">
        <x:v>Unknown</x:v>
      </x:c>
      <x:c r="P38" t="str">
        <x:v>Unknown</x:v>
      </x:c>
      <x:c r="Q38"/>
      <x:c r="R38" t="str">
        <x:v>Yes</x:v>
      </x:c>
      <x:c r="S38" t="str">
        <x:v>Bimanual / Mobile Manipulator</x:v>
      </x:c>
      <x:c r="T38" t="str">
        <x:v>PMLR CoRL Proceedings</x:v>
      </x:c>
      <x:c r="U38" t="str">
        <x:v>P0</x:v>
      </x:c>
      <x:c r="V38" t="str">
        <x:v>Conference year is 2024; PMLR v270 published online in Jan 2025.</x:v>
      </x:c>
      <x:c r="W38" t="str">
        <x:v>Official Verified</x:v>
      </x:c>
      <x:c r="X38" t="str">
        <x:v>2026-09-18</x:v>
      </x:c>
      <x:c r="Y38" t="str">
        <x:v>Bimanual</x:v>
      </x:c>
      <x:c r="Z38" t="str">
        <x:v>02_Papers/03_Bimanual/Mobile_ALOHA.md</x:v>
      </x:c>
      <x:c r="AA38" t="str">
        <x:v>—</x:v>
      </x:c>
      <x:c r="AB38" t="str">
        <x:v>未可靠匹配</x:v>
      </x:c>
      <x:c r="AC38" t="str">
        <x:v>2026-09-25</x:v>
      </x:c>
      <x:c r="AD38" t="str">
        <x:v>双臂移动操作要求机器人在移动底座上同时协调两只机械臂。</x:v>
      </x:c>
      <x:c r="AE38" t="str">
        <x:v>Unknown / Needs Full-Paper Verification</x:v>
      </x:c>
      <x:c r="AF38" t="str">
        <x:v>Unknown / Needs Full-Paper Verification</x:v>
      </x:c>
      <x:c r="AG38" t="str">
        <x:v>Mobile ALOHA 平台上的移动双臂操作示范。</x:v>
      </x:c>
      <x:c r="AH38" t="str">
        <x:v>Unknown / Needs Full-Paper Verification</x:v>
      </x:c>
      <x:c r="AI38" t="str">
        <x:v>Unknown / Needs Full-Paper Verification</x:v>
      </x:c>
      <x:c r="AJ38" t="str">
        <x:v>Unknown / Needs Full-Paper Verification</x:v>
      </x:c>
      <x:c r="AK38" t="str">
        <x:v>已核验摘要未给可安全复述的统一量化结果；具体任务表现见论文评测。</x:v>
      </x:c>
      <x:c r="AL38" t="str">
        <x:v>Unknown / Needs Full-Paper Verification</x:v>
      </x:c>
      <x:c r="AM38" t="str">
        <x:v>Library Analysis / Research Note: Unknown / Needs Full-Paper Verification</x:v>
      </x:c>
      <x:c r="AN38" t="str">
        <x:v>Unknown / Needs Project-Specific Review</x:v>
      </x:c>
      <x:c r="AO38" t="str">
        <x:v>Unknown</x:v>
      </x:c>
      <x:c r="AP38" t="str">
        <x:v>B</x:v>
      </x:c>
      <x:c r="AQ38"/>
      <x:c r="AR38" t="str">
        <x:v>Unknown / Not Explicitly Reported in the currently accessible sources.</x:v>
      </x:c>
      <x:c r="AS38" t="str">
        <x:v>Unknown / Not Explicitly Reported in the currently accessible sources.</x:v>
      </x:c>
      <x:c r="AT38" t="str">
        <x:v>—</x:v>
      </x:c>
      <x:c r="AU38" t="str">
        <x:v>Unknown</x:v>
      </x:c>
      <x:c r="AV38" t="str">
        <x:v>B-Fulltext-Unavailable</x:v>
      </x:c>
      <x:c r="AW38" t="str">
        <x:v>Not Found</x:v>
      </x:c>
      <x:c r="AX38" t="str">
        <x:v>Unknown</x:v>
      </x:c>
      <x:c r="AY38" t="str">
        <x:v>Unknown</x:v>
      </x:c>
      <x:c r="AZ38" t="str">
        <x:v>https://raw.githubusercontent.com/mlresearch/v270/main/assets/fu25b/fu25b.pdf</x:v>
      </x:c>
      <x:c r="BA38" t="str">
        <x:v>No</x:v>
      </x:c>
      <x:c r="BB38" t="str">
        <x:v>No</x:v>
      </x:c>
      <x:c r="BC38" t="str">
        <x:v>No</x:v>
      </x:c>
      <x:c r="BD38" t="str">
        <x:v>No</x:v>
      </x:c>
      <x:c r="BE38" t="str">
        <x:v>No</x:v>
      </x:c>
      <x:c r="BF38" t="str">
        <x:v>No</x:v>
      </x:c>
      <x:c r="BG38" t="str">
        <x:v>No</x:v>
      </x:c>
      <x:c r="BH38" t="str">
        <x:v>Unresolved</x:v>
      </x:c>
      <x:c r="BI38" t="str">
        <x:v>Not Found After Verification</x:v>
      </x:c>
      <x:c r="BJ38" t="str">
        <x:v>Not Found After Verification</x:v>
      </x:c>
      <x:c r="BK38" t="str">
        <x:v>Audit logged - deep extraction pending</x:v>
      </x:c>
      <x:c r="BL38" t="str">
        <x:v>false</x:v>
      </x:c>
      <x:c r="BM38"/>
      <x:c r="BN38" t="str">
        <x:v>研究问题：双臂移动操作要求机器人在移动底座上同时协调两只机械臂。；之前方法的问题：传统固定底座示范不能直接覆盖全身移动与操作的耦合。；核心思路：Mobile ALOHA 建立双臂移动操作系统，并采集示范训练端到端模仿策略。；数据集与评测基准：Mobile ALOHA 平台上的移动双臂操作示范。；主要结果：已核验摘要未给可安全复述的统一量化结果；具体任务表现见论文评测。；为什么重要：提供移动双臂真机系统和示范采集的完整参照。；与当前项目的关系：High：双臂与普通夹爪相关；移动底座部分需与本项目区分。；主要局限：移动和操作同时变化，难单独归因哪一环节带来失败。</x:v>
      </x:c>
      <x:c r="BO38" t="str">
        <x:v>传统固定底座示范不能直接覆盖全身移动与操作的耦合。</x:v>
      </x:c>
      <x:c r="BP38" t="str">
        <x:v>Mobile ALOHA 建立双臂移动操作系统，并采集示范训练端到端模仿策略。</x:v>
      </x:c>
      <x:c r="BQ38"/>
      <x:c r="BR38" t="str">
        <x:v>已核验摘要未给可安全复述的统一量化结果；具体任务表现见论文评测。</x:v>
      </x:c>
      <x:c r="BS38" t="str">
        <x:v>提供移动双臂真机系统和示范采集的完整参照。</x:v>
      </x:c>
      <x:c r="BT38" t="str">
        <x:v>移动和操作同时变化，难单独归因哪一环节带来失败。</x:v>
      </x:c>
      <x:c r="BU38"/>
      <x:c r="BV38" t="str">
        <x:v>High：双臂与普通夹爪相关；移动底座部分需与本项目区分。</x:v>
      </x:c>
      <x:c r="BW38" t="str">
        <x:v>官方摘要/论文页; https://proceedings.mlr.press/v270/fu25b.html; 核验于 2026-09-23. 仅为摘要级速读；原 Evidence Quality 不变。 - 核验层级：摘要有可追溯来源</x:v>
      </x:c>
      <x:c r="BX38" t="str">
        <x:v>Unresolved; no reliable citation service count</x:v>
      </x:c>
      <x:c r="BY38" t="n">
        <x:v>0</x:v>
      </x:c>
      <x:c r="BZ38" t="n">
        <x:v>1</x:v>
      </x:c>
    </x:row>
    <x:row r="39" ht="58" customHeight="1">
      <x:c r="A39" t="str">
        <x:v>D038</x:v>
      </x:c>
      <x:c r="B39" t="str">
        <x:v>ALOHA Unleashed: A Simple Recipe for Robot Dexterity</x:v>
      </x:c>
      <x:c r="C39" t="n">
        <x:v>2024</x:v>
      </x:c>
      <x:c r="D39" t="str">
        <x:v>Method Paper</x:v>
      </x:c>
      <x:c r="E39" t="str">
        <x:v>CoRL</x:v>
      </x:c>
      <x:c r="F39" t="str">
        <x:v>Formal CoRL 2024; PMLR v270 online 2025</x:v>
      </x:c>
      <x:c r="G39" t="str">
        <x:v>Not CCF A (robotics venue extension; CCF row not asserted)</x:v>
      </x:c>
      <x:c r="H39" t="str">
        <x:v>Bimanual; Dexterous Hand / Dexterous Manipulation</x:v>
      </x:c>
      <x:c r="I39" t="str">
        <x:v>Diffusion / Data Scaling / Contact-Rich</x:v>
      </x:c>
      <x:c r="J39" t="str">
        <x:v>Bimanual Manipulation; Diffusion / Data Scaling / Contact-Rich</x:v>
      </x:c>
      <x:c r="K39" t="e">
        <x:f>HYPERLINK("https://proceedings.mlr.press/v270/zhao25b.html","论文")</x:f>
        <x:v>HYPERLINK is not implemented. linkLocation=https://proceedings.mlr.press/v270/zhao25b.html, friendlyName=论文</x:v>
      </x:c>
      <x:c r="L39"/>
      <x:c r="M39"/>
      <x:c r="N39"/>
      <x:c r="O39" t="str">
        <x:v>Unknown</x:v>
      </x:c>
      <x:c r="P39" t="str">
        <x:v>Unknown</x:v>
      </x:c>
      <x:c r="Q39"/>
      <x:c r="R39" t="str">
        <x:v>Mixed</x:v>
      </x:c>
      <x:c r="S39" t="str">
        <x:v>Bimanual / Parallel Gripper</x:v>
      </x:c>
      <x:c r="T39" t="str">
        <x:v>PMLR CoRL Proceedings</x:v>
      </x:c>
      <x:c r="U39" t="str">
        <x:v>P0</x:v>
      </x:c>
      <x:c r="V39" t="str">
        <x:v>Conference year is 2024; PMLR v270 published online in Jan 2025.</x:v>
      </x:c>
      <x:c r="W39" t="str">
        <x:v>Official Verified</x:v>
      </x:c>
      <x:c r="X39" t="str">
        <x:v>2026-09-18</x:v>
      </x:c>
      <x:c r="Y39" t="str">
        <x:v>Bimanual</x:v>
      </x:c>
      <x:c r="Z39" t="str">
        <x:v>02_Papers/03_Bimanual/ALOHA_Unleashed.md</x:v>
      </x:c>
      <x:c r="AA39" t="n">
        <x:v>2</x:v>
      </x:c>
      <x:c r="AB39" t="str">
        <x:v>OpenAlex</x:v>
      </x:c>
      <x:c r="AC39" t="str">
        <x:v>2026-09-25</x:v>
      </x:c>
      <x:c r="AD39" t="str">
        <x:v>复杂灵巧操作需要足够多的真机示范和能表达多种动作的策略。</x:v>
      </x:c>
      <x:c r="AE39" t="str">
        <x:v>Unknown / Needs Full-Paper Verification</x:v>
      </x:c>
      <x:c r="AF39" t="str">
        <x:v>Unknown / Needs Full-Paper Verification</x:v>
      </x:c>
      <x:c r="AG39" t="str">
        <x:v>ALOHA 2 真机示范和论文列出的复杂操作任务。</x:v>
      </x:c>
      <x:c r="AH39" t="str">
        <x:v>Unknown / Needs Full-Paper Verification</x:v>
      </x:c>
      <x:c r="AI39" t="str">
        <x:v>Unknown / Needs Full-Paper Verification</x:v>
      </x:c>
      <x:c r="AJ39" t="str">
        <x:v>Unknown / Needs Full-Paper Verification</x:v>
      </x:c>
      <x:c r="AK39" t="str">
        <x:v>论文报告扩大数据规模与扩散策略组合能完成更具挑战性的操作；具体成功率见原文实验。</x:v>
      </x:c>
      <x:c r="AL39" t="str">
        <x:v>Unknown / Needs Full-Paper Verification</x:v>
      </x:c>
      <x:c r="AM39" t="str">
        <x:v>Library Analysis / Research Note: Unknown / Needs Full-Paper Verification</x:v>
      </x:c>
      <x:c r="AN39" t="str">
        <x:v>Unknown / Needs Project-Specific Review</x:v>
      </x:c>
      <x:c r="AO39" t="str">
        <x:v>Unknown</x:v>
      </x:c>
      <x:c r="AP39" t="str">
        <x:v>B</x:v>
      </x:c>
      <x:c r="AQ39"/>
      <x:c r="AR39" t="str">
        <x:v>Unknown / Not Explicitly Reported in the currently accessible sources.</x:v>
      </x:c>
      <x:c r="AS39" t="str">
        <x:v>Unknown / Not Explicitly Reported in the currently accessible sources.</x:v>
      </x:c>
      <x:c r="AT39" t="str">
        <x:v>https://openalex.org/W4403579180</x:v>
      </x:c>
      <x:c r="AU39" t="str">
        <x:v>https://proceedings.mlr.press/v270/</x:v>
      </x:c>
      <x:c r="AV39" t="str">
        <x:v>B-Fulltext-Unavailable</x:v>
      </x:c>
      <x:c r="AW39" t="str">
        <x:v>Not Found</x:v>
      </x:c>
      <x:c r="AX39" t="str">
        <x:v>Unknown</x:v>
      </x:c>
      <x:c r="AY39" t="str">
        <x:v>Unknown</x:v>
      </x:c>
      <x:c r="AZ39" t="str">
        <x:v>https://raw.githubusercontent.com/mlresearch/v270/main/assets/zhao25b/zhao25b.pdf</x:v>
      </x:c>
      <x:c r="BA39" t="str">
        <x:v>No</x:v>
      </x:c>
      <x:c r="BB39" t="str">
        <x:v>No</x:v>
      </x:c>
      <x:c r="BC39" t="str">
        <x:v>No</x:v>
      </x:c>
      <x:c r="BD39" t="str">
        <x:v>No</x:v>
      </x:c>
      <x:c r="BE39" t="str">
        <x:v>No</x:v>
      </x:c>
      <x:c r="BF39" t="str">
        <x:v>No</x:v>
      </x:c>
      <x:c r="BG39" t="str">
        <x:v>No</x:v>
      </x:c>
      <x:c r="BH39" t="str">
        <x:v>Matched</x:v>
      </x:c>
      <x:c r="BI39" t="str">
        <x:v>Not Found After Verification</x:v>
      </x:c>
      <x:c r="BJ39" t="str">
        <x:v>Not Found After Verification</x:v>
      </x:c>
      <x:c r="BK39" t="str">
        <x:v>Audit logged - deep extraction pending</x:v>
      </x:c>
      <x:c r="BL39" t="str">
        <x:v>false</x:v>
      </x:c>
      <x:c r="BM39"/>
      <x:c r="BN39" t="str">
        <x:v>研究问题：复杂灵巧操作需要足够多的真机示范和能表达多种动作的策略。；之前方法的问题：小规模模仿学习数据难以覆盖长任务与接触变化。；核心思路：在 ALOHA 2 平台扩大数据采集，再用 Diffusion Policy 等表达能力较强的策略学习操作。；数据集与评测基准：ALOHA 2 真机示范和论文列出的复杂操作任务。；主要结果：论文报告扩大数据规模与扩散策略组合能完成更具挑战性的操作；具体成功率见原文实验。；为什么重要：提供真机双臂示范规模与策略能力的实证对照。；与当前项目的关系：High：硬件形态与本项目双臂普通夹爪接近。；主要局限：不同任务、相机与夹爪配置之间的迁移仍需单独评测。</x:v>
      </x:c>
      <x:c r="BO39" t="str">
        <x:v>小规模模仿学习数据难以覆盖长任务与接触变化。</x:v>
      </x:c>
      <x:c r="BP39" t="str">
        <x:v>在 ALOHA 2 平台扩大数据采集，再用 Diffusion Policy 等表达能力较强的策略学习操作。</x:v>
      </x:c>
      <x:c r="BQ39"/>
      <x:c r="BR39" t="str">
        <x:v>论文报告扩大数据规模与扩散策略组合能完成更具挑战性的操作；具体成功率见原文实验。</x:v>
      </x:c>
      <x:c r="BS39" t="str">
        <x:v>提供真机双臂示范规模与策略能力的实证对照。</x:v>
      </x:c>
      <x:c r="BT39" t="str">
        <x:v>不同任务、相机与夹爪配置之间的迁移仍需单独评测。</x:v>
      </x:c>
      <x:c r="BU39"/>
      <x:c r="BV39" t="str">
        <x:v>High：硬件形态与本项目双臂普通夹爪接近。</x:v>
      </x:c>
      <x:c r="BW39" t="str">
        <x:v>官方摘要/论文页; https://arxiv.org/html/2410.13126; 核验于 2026-09-23. 仅为摘要级速读；原 Evidence Quality 不变。 - 核验层级：摘要有可追溯来源</x:v>
      </x:c>
      <x:c r="BX39" t="str">
        <x:v>final-title</x:v>
      </x:c>
      <x:c r="BY39" t="n">
        <x:v>3</x:v>
      </x:c>
      <x:c r="BZ39" t="n">
        <x:v>2</x:v>
      </x:c>
    </x:row>
    <x:row r="40" ht="58" customHeight="1">
      <x:c r="A40" t="str">
        <x:v>D039</x:v>
      </x:c>
      <x:c r="B40" t="str">
        <x:v>MimicFunc: Imitating Tool Manipulation from a Single Human Video via Functional Correspondence</x:v>
      </x:c>
      <x:c r="C40" t="n">
        <x:v>2025</x:v>
      </x:c>
      <x:c r="D40" t="str">
        <x:v>Method Paper</x:v>
      </x:c>
      <x:c r="E40" t="str">
        <x:v>CoRL</x:v>
      </x:c>
      <x:c r="F40" t="str">
        <x:v>Formal PMLR v305 / CoRL 2025</x:v>
      </x:c>
      <x:c r="G40" t="str">
        <x:v>Not CCF A (robotics venue extension; CCF row not asserted)</x:v>
      </x:c>
      <x:c r="H40" t="str">
        <x:v>Robot Manipulation / IL / Diffusion</x:v>
      </x:c>
      <x:c r="I40" t="str">
        <x:v>Language-Conditioned Demonstrations</x:v>
      </x:c>
      <x:c r="J40" t="str">
        <x:v>Imitation Learning; Language-Conditioned Demonstrations</x:v>
      </x:c>
      <x:c r="K40" t="e">
        <x:f>HYPERLINK("https://proceedings.mlr.press/v305/tang25a.html","论文")</x:f>
        <x:v>HYPERLINK is not implemented. linkLocation=https://proceedings.mlr.press/v305/tang25a.html, friendlyName=论文</x:v>
      </x:c>
      <x:c r="L40"/>
      <x:c r="M40"/>
      <x:c r="N40"/>
      <x:c r="O40" t="str">
        <x:v>Unknown</x:v>
      </x:c>
      <x:c r="P40" t="str">
        <x:v>Unknown</x:v>
      </x:c>
      <x:c r="Q40"/>
      <x:c r="R40" t="str">
        <x:v>Unknown</x:v>
      </x:c>
      <x:c r="S40" t="str">
        <x:v>Unknown</x:v>
      </x:c>
      <x:c r="T40" t="str">
        <x:v>PMLR CoRL Proceedings</x:v>
      </x:c>
      <x:c r="U40" t="str">
        <x:v>P2</x:v>
      </x:c>
      <x:c r="V40"/>
      <x:c r="W40" t="str">
        <x:v>Official Verified</x:v>
      </x:c>
      <x:c r="X40" t="str">
        <x:v>2026-09-18</x:v>
      </x:c>
      <x:c r="Y40" t="str">
        <x:v>Diffusion / Flow / IL / RL</x:v>
      </x:c>
      <x:c r="Z40" t="str">
        <x:v>02_Papers/06_Diffusion_Flow_IL_RL/MimicFunc.md</x:v>
      </x:c>
      <x:c r="AA40" t="n">
        <x:v>0</x:v>
      </x:c>
      <x:c r="AB40" t="str">
        <x:v>OpenAlex</x:v>
      </x:c>
      <x:c r="AC40" t="str">
        <x:v>2026-09-25</x:v>
      </x:c>
      <x:c r="AD40" t="str">
        <x:v>从一段人类工具操作视频迁移到几何形状不同的新工具仍很困难。</x:v>
      </x:c>
      <x:c r="AE40" t="str">
        <x:v>Unknown / Needs Full-Paper Verification</x:v>
      </x:c>
      <x:c r="AF40" t="str">
        <x:v>Unknown / Needs Full-Paper Verification</x:v>
      </x:c>
      <x:c r="AG40" t="str">
        <x:v>单段 RGB-D 人类视频与新工具操作任务。</x:v>
      </x:c>
      <x:c r="AH40" t="str">
        <x:v>Unknown / Needs Full-Paper Verification</x:v>
      </x:c>
      <x:c r="AI40" t="str">
        <x:v>Unknown / Needs Full-Paper Verification</x:v>
      </x:c>
      <x:c r="AJ40" t="str">
        <x:v>Unknown / Needs Full-Paper Verification</x:v>
      </x:c>
      <x:c r="AK40" t="str">
        <x:v>CoRL 官方摘要报告能操作功能相同但外形不同的新工具，还可生成训练视觉运动策略的 rollout；未给统一成功率。</x:v>
      </x:c>
      <x:c r="AL40" t="str">
        <x:v>Unknown / Needs Full-Paper Verification</x:v>
      </x:c>
      <x:c r="AM40" t="str">
        <x:v>Library Analysis / Research Note: Unknown / Needs Full-Paper Verification</x:v>
      </x:c>
      <x:c r="AN40" t="str">
        <x:v>Unknown / Needs Project-Specific Review</x:v>
      </x:c>
      <x:c r="AO40" t="str">
        <x:v>Unknown</x:v>
      </x:c>
      <x:c r="AP40" t="str">
        <x:v>B</x:v>
      </x:c>
      <x:c r="AQ40"/>
      <x:c r="AR40" t="str">
        <x:v>Unknown / Not Explicitly Reported in the currently accessible sources.</x:v>
      </x:c>
      <x:c r="AS40" t="str">
        <x:v>Unknown / Not Explicitly Reported in the currently accessible sources.</x:v>
      </x:c>
      <x:c r="AT40" t="str">
        <x:v>https://openalex.org/W4414991924</x:v>
      </x:c>
      <x:c r="AU40" t="str">
        <x:v>Unknown</x:v>
      </x:c>
      <x:c r="AV40" t="str">
        <x:v>B-Fulltext-Unavailable</x:v>
      </x:c>
      <x:c r="AW40" t="str">
        <x:v>Not Found</x:v>
      </x:c>
      <x:c r="AX40" t="str">
        <x:v>Unknown</x:v>
      </x:c>
      <x:c r="AY40" t="str">
        <x:v>Unknown</x:v>
      </x:c>
      <x:c r="AZ40" t="str">
        <x:v>https://raw.githubusercontent.com/mlresearch/v305/main/assets/tang25a/tang25a.pdf</x:v>
      </x:c>
      <x:c r="BA40" t="str">
        <x:v>No</x:v>
      </x:c>
      <x:c r="BB40" t="str">
        <x:v>No</x:v>
      </x:c>
      <x:c r="BC40" t="str">
        <x:v>No</x:v>
      </x:c>
      <x:c r="BD40" t="str">
        <x:v>No</x:v>
      </x:c>
      <x:c r="BE40" t="str">
        <x:v>No</x:v>
      </x:c>
      <x:c r="BF40" t="str">
        <x:v>No</x:v>
      </x:c>
      <x:c r="BG40" t="str">
        <x:v>No</x:v>
      </x:c>
      <x:c r="BH40" t="str">
        <x:v>Matched</x:v>
      </x:c>
      <x:c r="BI40" t="str">
        <x:v>Not Found After Verification</x:v>
      </x:c>
      <x:c r="BJ40" t="str">
        <x:v>Not Found After Verification</x:v>
      </x:c>
      <x:c r="BK40" t="str">
        <x:v>Audit logged - deep extraction pending</x:v>
      </x:c>
      <x:c r="BL40" t="str">
        <x:v>false</x:v>
      </x:c>
      <x:c r="BM40"/>
      <x:c r="BN40" t="str">
        <x:v>研究问题：从一段人类工具操作视频迁移到几何形状不同的新工具仍很困难。；之前方法的问题：只按外形对齐的模仿方法难以抓住工具的功能对应关系。；核心思路：MimicFunc 用三维功能关键点建立 function frame，使机器人从单段 RGB-D 人类视频迁移工具操作。；输入：官方摘要给出任务/数据类型；具体模型张量与接口需核对方法章节。；输出与动作：官方摘要未明确列出完整控制接口；需核对论文方法或代码。；数据集与评测基准：单段 RGB-D 人类视频与新工具操作任务。；主要结果：CoRL 官方摘要报告能操作功能相同但外形不同的新工具，还可生成训练视觉运动策略的 rollout；未给统一成功率。；为什么重要：为 Human Video → Robot Action 提供功能对齐思路，普通夹爪适配仍需验证。；与当前项目的关系：Medium：方法可借鉴，但迁移到当前双臂硬件需验证。；主要局限：本段基于官方摘要；未覆盖全文失败案例、完整 Baseline 与方法消融。</x:v>
      </x:c>
      <x:c r="BO40" t="str">
        <x:v>只按外形对齐的模仿方法难以抓住工具的功能对应关系。</x:v>
      </x:c>
      <x:c r="BP40" t="str">
        <x:v>MimicFunc 用三维功能关键点建立 function frame，使机器人从单段 RGB-D 人类视频迁移工具操作。</x:v>
      </x:c>
      <x:c r="BQ40"/>
      <x:c r="BR40" t="str">
        <x:v>CoRL 官方摘要报告能操作功能相同但外形不同的新工具，还可生成训练视觉运动策略的 rollout；未给统一成功率。</x:v>
      </x:c>
      <x:c r="BS40" t="str">
        <x:v>为 Human Video → Robot Action 提供功能对齐思路，普通夹爪适配仍需验证。</x:v>
      </x:c>
      <x:c r="BT40" t="str">
        <x:v>本段基于官方摘要；未覆盖全文失败案例、完整 Baseline 与方法消融。</x:v>
      </x:c>
      <x:c r="BU40"/>
      <x:c r="BV40" t="str">
        <x:v>Medium：方法可借鉴，但迁移到当前双臂硬件需验证。</x:v>
      </x:c>
      <x:c r="BW40" t="str">
        <x:v>官方摘要/论文页：https://proceedings.mlr.press/v305/tang25a.html；核验于 2026-09-23。仅为摘要级速读，原 Evidence Quality 不变。 - 核验层级：摘要有可追溯来源</x:v>
      </x:c>
      <x:c r="BX40" t="str">
        <x:v>final-title</x:v>
      </x:c>
      <x:c r="BY40" t="n">
        <x:v>0</x:v>
      </x:c>
      <x:c r="BZ40" t="n">
        <x:v>0</x:v>
      </x:c>
    </x:row>
    <x:row r="41" ht="58" customHeight="1">
      <x:c r="A41" t="str">
        <x:v>D040</x:v>
      </x:c>
      <x:c r="B41" t="str">
        <x:v>SafeBimanual: Diffusion-based trajectory optimization for safe bimanual manipulation</x:v>
      </x:c>
      <x:c r="C41" t="n">
        <x:v>2025</x:v>
      </x:c>
      <x:c r="D41" t="str">
        <x:v>Method Paper</x:v>
      </x:c>
      <x:c r="E41" t="str">
        <x:v>CoRL</x:v>
      </x:c>
      <x:c r="F41" t="str">
        <x:v>Formal PMLR v305 / CoRL 2025</x:v>
      </x:c>
      <x:c r="G41" t="str">
        <x:v>Not CCF A (robotics venue extension; CCF row not asserted)</x:v>
      </x:c>
      <x:c r="H41" t="str">
        <x:v>Bimanual</x:v>
      </x:c>
      <x:c r="I41" t="str">
        <x:v>Diffusion / Safety / Trajectory Optimization</x:v>
      </x:c>
      <x:c r="J41" t="str">
        <x:v>Bimanual Manipulation; Diffusion / Safety / Trajectory Optimization</x:v>
      </x:c>
      <x:c r="K41" t="e">
        <x:f>HYPERLINK("https://proceedings.mlr.press/v305/deng25c.html","论文")</x:f>
        <x:v>HYPERLINK is not implemented. linkLocation=https://proceedings.mlr.press/v305/deng25c.html, friendlyName=论文</x:v>
      </x:c>
      <x:c r="L41"/>
      <x:c r="M41"/>
      <x:c r="N41"/>
      <x:c r="O41" t="str">
        <x:v>Unknown</x:v>
      </x:c>
      <x:c r="P41" t="str">
        <x:v>Unknown</x:v>
      </x:c>
      <x:c r="Q41"/>
      <x:c r="R41" t="str">
        <x:v>Unknown</x:v>
      </x:c>
      <x:c r="S41" t="str">
        <x:v>Bimanual</x:v>
      </x:c>
      <x:c r="T41" t="str">
        <x:v>PMLR CoRL Proceedings</x:v>
      </x:c>
      <x:c r="U41" t="str">
        <x:v>P1</x:v>
      </x:c>
      <x:c r="V41"/>
      <x:c r="W41" t="str">
        <x:v>Official Verified</x:v>
      </x:c>
      <x:c r="X41" t="str">
        <x:v>2026-09-18</x:v>
      </x:c>
      <x:c r="Y41" t="str">
        <x:v>Bimanual</x:v>
      </x:c>
      <x:c r="Z41" t="str">
        <x:v>02_Papers/03_Bimanual/SafeBimanual.md</x:v>
      </x:c>
      <x:c r="AA41" t="str">
        <x:v>—</x:v>
      </x:c>
      <x:c r="AB41" t="str">
        <x:v>未可靠匹配</x:v>
      </x:c>
      <x:c r="AC41" t="str">
        <x:v>2026-09-25</x:v>
      </x:c>
      <x:c r="AD41" t="str">
        <x:v>双臂扩散策略生成的动作可能违反安全和协调约束。</x:v>
      </x:c>
      <x:c r="AE41" t="str">
        <x:v>Unknown / Needs Full-Paper Verification</x:v>
      </x:c>
      <x:c r="AF41" t="str">
        <x:v>Unknown / Needs Full-Paper Verification</x:v>
      </x:c>
      <x:c r="AG41" t="str">
        <x:v>双臂扩散策略的测试时轨迹优化任务；具体 benchmark 见论文。</x:v>
      </x:c>
      <x:c r="AH41" t="str">
        <x:v>Unknown / Needs Full-Paper Verification</x:v>
      </x:c>
      <x:c r="AI41" t="str">
        <x:v>Unknown / Needs Full-Paper Verification</x:v>
      </x:c>
      <x:c r="AJ41" t="str">
        <x:v>Unknown / Needs Full-Paper Verification</x:v>
      </x:c>
      <x:c r="AK41" t="str">
        <x:v>已核验摘要未提供可安全复述的统一量化结果。</x:v>
      </x:c>
      <x:c r="AL41" t="str">
        <x:v>Unknown / Needs Full-Paper Verification</x:v>
      </x:c>
      <x:c r="AM41" t="str">
        <x:v>Library Analysis / Research Note: Unknown / Needs Full-Paper Verification</x:v>
      </x:c>
      <x:c r="AN41" t="str">
        <x:v>Unknown / Needs Project-Specific Review</x:v>
      </x:c>
      <x:c r="AO41" t="str">
        <x:v>Unknown</x:v>
      </x:c>
      <x:c r="AP41" t="str">
        <x:v>B</x:v>
      </x:c>
      <x:c r="AQ41"/>
      <x:c r="AR41" t="str">
        <x:v>Unknown / Not Explicitly Reported in the currently accessible sources.</x:v>
      </x:c>
      <x:c r="AS41" t="str">
        <x:v>Unknown / Not Explicitly Reported in the currently accessible sources.</x:v>
      </x:c>
      <x:c r="AT41" t="str">
        <x:v>—</x:v>
      </x:c>
      <x:c r="AU41" t="str">
        <x:v>Unknown</x:v>
      </x:c>
      <x:c r="AV41" t="str">
        <x:v>B-Fulltext-Unavailable</x:v>
      </x:c>
      <x:c r="AW41" t="str">
        <x:v>Not Found</x:v>
      </x:c>
      <x:c r="AX41" t="str">
        <x:v>Unknown</x:v>
      </x:c>
      <x:c r="AY41" t="str">
        <x:v>Unknown</x:v>
      </x:c>
      <x:c r="AZ41" t="str">
        <x:v>https://raw.githubusercontent.com/mlresearch/v305/main/assets/deng25c/deng25c.pdf</x:v>
      </x:c>
      <x:c r="BA41" t="str">
        <x:v>No</x:v>
      </x:c>
      <x:c r="BB41" t="str">
        <x:v>No</x:v>
      </x:c>
      <x:c r="BC41" t="str">
        <x:v>No</x:v>
      </x:c>
      <x:c r="BD41" t="str">
        <x:v>No</x:v>
      </x:c>
      <x:c r="BE41" t="str">
        <x:v>No</x:v>
      </x:c>
      <x:c r="BF41" t="str">
        <x:v>No</x:v>
      </x:c>
      <x:c r="BG41" t="str">
        <x:v>No</x:v>
      </x:c>
      <x:c r="BH41" t="str">
        <x:v>Unresolved</x:v>
      </x:c>
      <x:c r="BI41" t="str">
        <x:v>Not Found After Verification</x:v>
      </x:c>
      <x:c r="BJ41" t="str">
        <x:v>Not Found After Verification</x:v>
      </x:c>
      <x:c r="BK41" t="str">
        <x:v>Audit logged - deep extraction pending</x:v>
      </x:c>
      <x:c r="BL41" t="str">
        <x:v>false</x:v>
      </x:c>
      <x:c r="BM41"/>
      <x:c r="BN41" t="str">
        <x:v>研究问题：双臂扩散策略生成的动作可能违反安全和协调约束。；之前方法的问题：训练完成后的策略不一定知道新的障碍物或当前碰撞边界。；核心思路：SafeBimanual 在测试时对预训练扩散策略的轨迹进行优化，加入安全约束。；数据集与评测基准：双臂扩散策略的测试时轨迹优化任务；具体 benchmark 见论文。；主要结果：已核验摘要未提供可安全复述的统一量化结果。；为什么重要：将安全约束放在策略与真机控制器之间，便于与现有策略组合。；与当前项目的关系：High：双臂普通夹爪真机部署需要碰撞与工作空间限制。；主要局限：优化耗时、约束保守程度和任务成功率之间的权衡需实测。</x:v>
      </x:c>
      <x:c r="BO41" t="str">
        <x:v>训练完成后的策略不一定知道新的障碍物或当前碰撞边界。</x:v>
      </x:c>
      <x:c r="BP41" t="str">
        <x:v>SafeBimanual 在测试时对预训练扩散策略的轨迹进行优化，加入安全约束。</x:v>
      </x:c>
      <x:c r="BQ41"/>
      <x:c r="BR41" t="str">
        <x:v>已核验摘要未提供可安全复述的统一量化结果。</x:v>
      </x:c>
      <x:c r="BS41" t="str">
        <x:v>将安全约束放在策略与真机控制器之间，便于与现有策略组合。</x:v>
      </x:c>
      <x:c r="BT41" t="str">
        <x:v>优化耗时、约束保守程度和任务成功率之间的权衡需实测。</x:v>
      </x:c>
      <x:c r="BU41"/>
      <x:c r="BV41" t="str">
        <x:v>High：双臂普通夹爪真机部署需要碰撞与工作空间限制。</x:v>
      </x:c>
      <x:c r="BW41" t="str">
        <x:v>官方摘要/论文页; https://proceedings.mlr.press/v305/deng25c.html; 核验于 2026-09-23. 仅为摘要级速读；原 Evidence Quality 不变。 - 核验层级：摘要有可追溯来源</x:v>
      </x:c>
      <x:c r="BX41" t="str">
        <x:v>Unresolved; no reliable citation service count</x:v>
      </x:c>
      <x:c r="BY41" t="n">
        <x:v>0</x:v>
      </x:c>
      <x:c r="BZ41" t="n">
        <x:v>0</x:v>
      </x:c>
    </x:row>
    <x:row r="42" ht="58" customHeight="1">
      <x:c r="A42" t="str">
        <x:v>D041</x:v>
      </x:c>
      <x:c r="B42" t="str">
        <x:v>COMBO-Grasp: Learning Constraint-Based Manipulation for Bimanual Occluded Grasping</x:v>
      </x:c>
      <x:c r="C42" t="n">
        <x:v>2025</x:v>
      </x:c>
      <x:c r="D42" t="str">
        <x:v>Method Paper</x:v>
      </x:c>
      <x:c r="E42" t="str">
        <x:v>CoRL</x:v>
      </x:c>
      <x:c r="F42" t="str">
        <x:v>Formal PMLR v305 / CoRL 2025</x:v>
      </x:c>
      <x:c r="G42" t="str">
        <x:v>Not CCF A (robotics venue extension; CCF row not asserted)</x:v>
      </x:c>
      <x:c r="H42" t="str">
        <x:v>Bimanual</x:v>
      </x:c>
      <x:c r="I42" t="str">
        <x:v>Occlusion / Constraint Grasping</x:v>
      </x:c>
      <x:c r="J42" t="str">
        <x:v>Bimanual Manipulation; Occlusion / Constraint Grasping</x:v>
      </x:c>
      <x:c r="K42" t="e">
        <x:f>HYPERLINK("https://proceedings.mlr.press/v305/yamada25a.html","论文")</x:f>
        <x:v>HYPERLINK is not implemented. linkLocation=https://proceedings.mlr.press/v305/yamada25a.html, friendlyName=论文</x:v>
      </x:c>
      <x:c r="L42"/>
      <x:c r="M42"/>
      <x:c r="N42"/>
      <x:c r="O42" t="str">
        <x:v>Unknown</x:v>
      </x:c>
      <x:c r="P42" t="str">
        <x:v>Unknown</x:v>
      </x:c>
      <x:c r="Q42"/>
      <x:c r="R42" t="str">
        <x:v>Unknown</x:v>
      </x:c>
      <x:c r="S42" t="str">
        <x:v>Bimanual / Parallel Gripper</x:v>
      </x:c>
      <x:c r="T42" t="str">
        <x:v>PMLR CoRL Proceedings</x:v>
      </x:c>
      <x:c r="U42" t="str">
        <x:v>P1</x:v>
      </x:c>
      <x:c r="V42"/>
      <x:c r="W42" t="str">
        <x:v>Official Verified</x:v>
      </x:c>
      <x:c r="X42" t="str">
        <x:v>2026-09-18</x:v>
      </x:c>
      <x:c r="Y42" t="str">
        <x:v>Bimanual</x:v>
      </x:c>
      <x:c r="Z42" t="str">
        <x:v>02_Papers/03_Bimanual/COMBO-Grasp.md</x:v>
      </x:c>
      <x:c r="AA42" t="n">
        <x:v>0</x:v>
      </x:c>
      <x:c r="AB42" t="str">
        <x:v>OpenAlex</x:v>
      </x:c>
      <x:c r="AC42" t="str">
        <x:v>2026-09-25</x:v>
      </x:c>
      <x:c r="AD42" t="str">
        <x:v>目标抓取位姿可能被障碍物遮挡，单臂难以直接到达。</x:v>
      </x:c>
      <x:c r="AE42" t="str">
        <x:v>Unknown / Needs Full-Paper Verification</x:v>
      </x:c>
      <x:c r="AF42" t="str">
        <x:v>Unknown / Needs Full-Paper Verification</x:v>
      </x:c>
      <x:c r="AG42" t="str">
        <x:v>论文的遮挡抓取评测任务；具体平台和基线见实验章节。</x:v>
      </x:c>
      <x:c r="AH42" t="str">
        <x:v>Unknown / Needs Full-Paper Verification</x:v>
      </x:c>
      <x:c r="AI42" t="str">
        <x:v>Unknown / Needs Full-Paper Verification</x:v>
      </x:c>
      <x:c r="AJ42" t="str">
        <x:v>Unknown / Needs Full-Paper Verification</x:v>
      </x:c>
      <x:c r="AK42" t="str">
        <x:v>官方摘要报告成功率优于所比较基线，并对未见设置有一定泛化；未给统一数值。</x:v>
      </x:c>
      <x:c r="AL42" t="str">
        <x:v>Unknown / Needs Full-Paper Verification</x:v>
      </x:c>
      <x:c r="AM42" t="str">
        <x:v>Library Analysis / Research Note: Unknown / Needs Full-Paper Verification</x:v>
      </x:c>
      <x:c r="AN42" t="str">
        <x:v>Unknown / Needs Project-Specific Review</x:v>
      </x:c>
      <x:c r="AO42" t="str">
        <x:v>Unknown</x:v>
      </x:c>
      <x:c r="AP42" t="str">
        <x:v>B</x:v>
      </x:c>
      <x:c r="AQ42"/>
      <x:c r="AR42" t="str">
        <x:v>Unknown / Not Explicitly Reported in the currently accessible sources.</x:v>
      </x:c>
      <x:c r="AS42" t="str">
        <x:v>Unknown / Not Explicitly Reported in the currently accessible sources.</x:v>
      </x:c>
      <x:c r="AT42" t="str">
        <x:v>https://openalex.org/W4407569722</x:v>
      </x:c>
      <x:c r="AU42" t="str">
        <x:v>Unknown</x:v>
      </x:c>
      <x:c r="AV42" t="str">
        <x:v>B-Fulltext-Unavailable</x:v>
      </x:c>
      <x:c r="AW42" t="str">
        <x:v>Not Found</x:v>
      </x:c>
      <x:c r="AX42" t="str">
        <x:v>Unknown</x:v>
      </x:c>
      <x:c r="AY42" t="str">
        <x:v>Unknown</x:v>
      </x:c>
      <x:c r="AZ42" t="str">
        <x:v>https://raw.githubusercontent.com/mlresearch/v305/main/assets/yamada25a/yamada25a.pdf</x:v>
      </x:c>
      <x:c r="BA42" t="str">
        <x:v>No</x:v>
      </x:c>
      <x:c r="BB42" t="str">
        <x:v>No</x:v>
      </x:c>
      <x:c r="BC42" t="str">
        <x:v>No</x:v>
      </x:c>
      <x:c r="BD42" t="str">
        <x:v>No</x:v>
      </x:c>
      <x:c r="BE42" t="str">
        <x:v>No</x:v>
      </x:c>
      <x:c r="BF42" t="str">
        <x:v>No</x:v>
      </x:c>
      <x:c r="BG42" t="str">
        <x:v>No</x:v>
      </x:c>
      <x:c r="BH42" t="str">
        <x:v>Matched</x:v>
      </x:c>
      <x:c r="BI42" t="str">
        <x:v>Not Found After Verification</x:v>
      </x:c>
      <x:c r="BJ42" t="str">
        <x:v>Not Found After Verification</x:v>
      </x:c>
      <x:c r="BK42" t="str">
        <x:v>Audit logged - deep extraction pending</x:v>
      </x:c>
      <x:c r="BL42" t="str">
        <x:v>false</x:v>
      </x:c>
      <x:c r="BM42"/>
      <x:c r="BN42" t="str">
        <x:v>研究问题：目标抓取位姿可能被障碍物遮挡，单臂难以直接到达。；之前方法的问题：只规划目标夹爪的直接抓取，缺少另一只手协助移动物体/障碍物。；核心思路：COMBO-Grasp 用两个协调策略处理遮挡抓取，让双臂先调整环境再完成目标抓取。；数据集与评测基准：论文的遮挡抓取评测任务；具体平台和基线见实验章节。；主要结果：官方摘要报告成功率优于所比较基线，并对未见设置有一定泛化；未给统一数值。；为什么重要：展示双臂协作不只是同步抓取，也可以分工解除遮挡。；与当前项目的关系：High：适合普通夹爪双臂的支撑、移动与抓取任务。；主要局限：需进一步核验复杂杂乱场景与真机接触安全边界。</x:v>
      </x:c>
      <x:c r="BO42" t="str">
        <x:v>只规划目标夹爪的直接抓取，缺少另一只手协助移动物体/障碍物。</x:v>
      </x:c>
      <x:c r="BP42" t="str">
        <x:v>COMBO-Grasp 用两个协调策略处理遮挡抓取，让双臂先调整环境再完成目标抓取。</x:v>
      </x:c>
      <x:c r="BQ42"/>
      <x:c r="BR42" t="str">
        <x:v>官方摘要报告成功率优于所比较基线，并对未见设置有一定泛化；未给统一数值。</x:v>
      </x:c>
      <x:c r="BS42" t="str">
        <x:v>展示双臂协作不只是同步抓取，也可以分工解除遮挡。</x:v>
      </x:c>
      <x:c r="BT42" t="str">
        <x:v>需进一步核验复杂杂乱场景与真机接触安全边界。</x:v>
      </x:c>
      <x:c r="BU42"/>
      <x:c r="BV42" t="str">
        <x:v>High：适合普通夹爪双臂的支撑、移动与抓取任务。</x:v>
      </x:c>
      <x:c r="BW42" t="str">
        <x:v>官方摘要/论文页; https://arxiv.org/html/2502.08054; 核验于 2026-09-23. 仅为摘要级速读；原 Evidence Quality 不变。 - 核验层级：摘要有可追溯来源</x:v>
      </x:c>
      <x:c r="BX42" t="str">
        <x:v>final-title</x:v>
      </x:c>
      <x:c r="BY42" t="n">
        <x:v>1</x:v>
      </x:c>
      <x:c r="BZ42" t="n">
        <x:v>1</x:v>
      </x:c>
    </x:row>
    <x:row r="43" ht="58" customHeight="1">
      <x:c r="A43" t="str">
        <x:v>D042</x:v>
      </x:c>
      <x:c r="B43" t="str">
        <x:v>Sim-to-Real Reinforcement Learning for Vision-Based Dexterous Manipulation on Humanoids</x:v>
      </x:c>
      <x:c r="C43" t="n">
        <x:v>2025</x:v>
      </x:c>
      <x:c r="D43" t="str">
        <x:v>Method Paper</x:v>
      </x:c>
      <x:c r="E43" t="str">
        <x:v>CoRL</x:v>
      </x:c>
      <x:c r="F43" t="str">
        <x:v>Formal PMLR v305 / CoRL 2025</x:v>
      </x:c>
      <x:c r="G43" t="str">
        <x:v>Not CCF A (robotics venue extension; CCF row not asserted)</x:v>
      </x:c>
      <x:c r="H43" t="str">
        <x:v>Dexterous Hand / Dexterous Manipulation</x:v>
      </x:c>
      <x:c r="I43" t="str">
        <x:v>Sim-to-Real / RL / Humanoid</x:v>
      </x:c>
      <x:c r="J43" t="str">
        <x:v>Dexterous Manipulation; Sim-to-Real / RL / Humanoid</x:v>
      </x:c>
      <x:c r="K43" t="e">
        <x:f>HYPERLINK("https://proceedings.mlr.press/v305/lin25c.html","论文")</x:f>
        <x:v>HYPERLINK is not implemented. linkLocation=https://proceedings.mlr.press/v305/lin25c.html, friendlyName=论文</x:v>
      </x:c>
      <x:c r="L43"/>
      <x:c r="M43"/>
      <x:c r="N43"/>
      <x:c r="O43" t="str">
        <x:v>Unknown</x:v>
      </x:c>
      <x:c r="P43" t="str">
        <x:v>Unknown</x:v>
      </x:c>
      <x:c r="Q43"/>
      <x:c r="R43" t="str">
        <x:v>Yes</x:v>
      </x:c>
      <x:c r="S43" t="str">
        <x:v>Humanoid / Dexterous Hand / Bimanual</x:v>
      </x:c>
      <x:c r="T43" t="str">
        <x:v>PMLR CoRL Proceedings</x:v>
      </x:c>
      <x:c r="U43" t="str">
        <x:v>P2</x:v>
      </x:c>
      <x:c r="V43"/>
      <x:c r="W43" t="str">
        <x:v>Official Verified</x:v>
      </x:c>
      <x:c r="X43" t="str">
        <x:v>2026-09-18</x:v>
      </x:c>
      <x:c r="Y43" t="str">
        <x:v>Sim2Real</x:v>
      </x:c>
      <x:c r="Z43" t="str">
        <x:v>02_Papers/05_Sim2Real/Sim-to-Real_Reinforcement_Learning_for_Vision-Based_Dexterous_Manipulation_on_Humanoids.md</x:v>
      </x:c>
      <x:c r="AA43" t="str">
        <x:v>—</x:v>
      </x:c>
      <x:c r="AB43" t="str">
        <x:v>未可靠匹配</x:v>
      </x:c>
      <x:c r="AC43" t="str">
        <x:v>2026-09-25</x:v>
      </x:c>
      <x:c r="AD43" t="str">
        <x:v>人形机器人多指操作的控制维度高，真机直接强化学习成本大。</x:v>
      </x:c>
      <x:c r="AE43" t="str">
        <x:v>Unknown / Needs Full-Paper Verification</x:v>
      </x:c>
      <x:c r="AF43" t="str">
        <x:v>Unknown / Needs Full-Paper Verification</x:v>
      </x:c>
      <x:c r="AG43" t="str">
        <x:v>论文报告 grasp-and-reach、box lift 等三项任务。</x:v>
      </x:c>
      <x:c r="AH43" t="str">
        <x:v>Unknown / Needs Full-Paper Verification</x:v>
      </x:c>
      <x:c r="AI43" t="str">
        <x:v>Unknown / Needs Full-Paper Verification</x:v>
      </x:c>
      <x:c r="AJ43" t="str">
        <x:v>Unknown / Needs Full-Paper Verification</x:v>
      </x:c>
      <x:c r="AK43" t="str">
        <x:v>已核验摘要未给可安全复述的统一量化成功率。</x:v>
      </x:c>
      <x:c r="AL43" t="str">
        <x:v>Unknown / Needs Full-Paper Verification</x:v>
      </x:c>
      <x:c r="AM43" t="str">
        <x:v>Library Analysis / Research Note: Unknown / Needs Full-Paper Verification</x:v>
      </x:c>
      <x:c r="AN43" t="str">
        <x:v>Unknown / Needs Project-Specific Review</x:v>
      </x:c>
      <x:c r="AO43" t="str">
        <x:v>Unknown</x:v>
      </x:c>
      <x:c r="AP43" t="str">
        <x:v>B</x:v>
      </x:c>
      <x:c r="AQ43"/>
      <x:c r="AR43" t="str">
        <x:v>Unknown / Not Explicitly Reported in the currently accessible sources.</x:v>
      </x:c>
      <x:c r="AS43" t="str">
        <x:v>Unknown / Not Explicitly Reported in the currently accessible sources.</x:v>
      </x:c>
      <x:c r="AT43" t="str">
        <x:v>—</x:v>
      </x:c>
      <x:c r="AU43" t="str">
        <x:v>Unknown</x:v>
      </x:c>
      <x:c r="AV43" t="str">
        <x:v>B-Fulltext-Unavailable</x:v>
      </x:c>
      <x:c r="AW43" t="str">
        <x:v>Not Found</x:v>
      </x:c>
      <x:c r="AX43" t="str">
        <x:v>Unknown</x:v>
      </x:c>
      <x:c r="AY43" t="str">
        <x:v>Unknown</x:v>
      </x:c>
      <x:c r="AZ43" t="str">
        <x:v>https://raw.githubusercontent.com/mlresearch/v305/main/assets/lin25c/lin25c.pdf</x:v>
      </x:c>
      <x:c r="BA43" t="str">
        <x:v>No</x:v>
      </x:c>
      <x:c r="BB43" t="str">
        <x:v>No</x:v>
      </x:c>
      <x:c r="BC43" t="str">
        <x:v>No</x:v>
      </x:c>
      <x:c r="BD43" t="str">
        <x:v>No</x:v>
      </x:c>
      <x:c r="BE43" t="str">
        <x:v>No</x:v>
      </x:c>
      <x:c r="BF43" t="str">
        <x:v>No</x:v>
      </x:c>
      <x:c r="BG43" t="str">
        <x:v>No</x:v>
      </x:c>
      <x:c r="BH43" t="str">
        <x:v>Unresolved</x:v>
      </x:c>
      <x:c r="BI43" t="str">
        <x:v>Not Found After Verification</x:v>
      </x:c>
      <x:c r="BJ43" t="str">
        <x:v>Not Found After Verification</x:v>
      </x:c>
      <x:c r="BK43" t="str">
        <x:v>Audit logged - deep extraction pending</x:v>
      </x:c>
      <x:c r="BL43" t="str">
        <x:v>false</x:v>
      </x:c>
      <x:c r="BM43"/>
      <x:c r="BN43" t="str">
        <x:v>研究问题：人形机器人多指操作的控制维度高，真机直接强化学习成本大。；之前方法的问题：仿真策略可能因视觉、动力学和接触差异在真机失败。；核心思路：在仿真中训练视觉条件强化学习策略，再迁移到人形机器人完成抓取、搬箱等灵巧任务。；数据集与评测基准：论文报告 grasp-and-reach、box lift 等三项任务。；主要结果：已核验摘要未给可安全复述的统一量化成功率。；为什么重要：为接触密集任务的 Sim2Real 训练流程提供参照。；与当前项目的关系：Medium：可借鉴迁移流程，但人形灵巧手与普通夹爪差异较大。；主要局限：不能从人形任务结果直接推断双臂普通夹爪表现。</x:v>
      </x:c>
      <x:c r="BO43" t="str">
        <x:v>仿真策略可能因视觉、动力学和接触差异在真机失败。</x:v>
      </x:c>
      <x:c r="BP43" t="str">
        <x:v>在仿真中训练视觉条件强化学习策略，再迁移到人形机器人完成抓取、搬箱等灵巧任务。</x:v>
      </x:c>
      <x:c r="BQ43"/>
      <x:c r="BR43" t="str">
        <x:v>已核验摘要未给可安全复述的统一量化成功率。</x:v>
      </x:c>
      <x:c r="BS43" t="str">
        <x:v>为接触密集任务的 Sim2Real 训练流程提供参照。</x:v>
      </x:c>
      <x:c r="BT43" t="str">
        <x:v>不能从人形任务结果直接推断双臂普通夹爪表现。</x:v>
      </x:c>
      <x:c r="BU43"/>
      <x:c r="BV43" t="str">
        <x:v>Medium：可借鉴迁移流程，但人形灵巧手与普通夹爪差异较大。</x:v>
      </x:c>
      <x:c r="BW43" t="str">
        <x:v>官方摘要/论文页; https://proceedings.mlr.press/v305/lin25c.html; 核验于 2026-09-23. 仅为摘要级速读；原 Evidence Quality 不变。 - 核验层级：摘要有可追溯来源</x:v>
      </x:c>
      <x:c r="BX43" t="str">
        <x:v>Unresolved; no reliable citation service count</x:v>
      </x:c>
      <x:c r="BY43" t="n">
        <x:v>0</x:v>
      </x:c>
      <x:c r="BZ43" t="n">
        <x:v>1</x:v>
      </x:c>
    </x:row>
    <x:row r="44" ht="58" customHeight="1">
      <x:c r="A44" t="str">
        <x:v>D043</x:v>
      </x:c>
      <x:c r="B44" t="str">
        <x:v>DexUMI: Using Human Hand as the Universal Manipulation Interface for Dexterous Manipulation</x:v>
      </x:c>
      <x:c r="C44" t="n">
        <x:v>2025</x:v>
      </x:c>
      <x:c r="D44" t="str">
        <x:v>Method Paper</x:v>
      </x:c>
      <x:c r="E44" t="str">
        <x:v>CoRL</x:v>
      </x:c>
      <x:c r="F44" t="str">
        <x:v>Formal PMLR v305 / CoRL 2025</x:v>
      </x:c>
      <x:c r="G44" t="str">
        <x:v>Not CCF A (robotics venue extension; CCF row not asserted)</x:v>
      </x:c>
      <x:c r="H44" t="str">
        <x:v>Dexterous Hand / Dexterous Manipulation</x:v>
      </x:c>
      <x:c r="I44" t="str">
        <x:v>Dexterous Manipulation / Data Collection</x:v>
      </x:c>
      <x:c r="J44" t="str">
        <x:v>Human Demonstration; Dexterous Manipulation / Data Collection</x:v>
      </x:c>
      <x:c r="K44" t="e">
        <x:f>HYPERLINK("https://proceedings.mlr.press/v305/xu25a.html","论文")</x:f>
        <x:v>HYPERLINK is not implemented. linkLocation=https://proceedings.mlr.press/v305/xu25a.html, friendlyName=论文</x:v>
      </x:c>
      <x:c r="L44"/>
      <x:c r="M44"/>
      <x:c r="N44"/>
      <x:c r="O44" t="str">
        <x:v>Unknown</x:v>
      </x:c>
      <x:c r="P44" t="str">
        <x:v>Unknown</x:v>
      </x:c>
      <x:c r="Q44"/>
      <x:c r="R44" t="str">
        <x:v>Unknown</x:v>
      </x:c>
      <x:c r="S44" t="str">
        <x:v>Dexterous Hand</x:v>
      </x:c>
      <x:c r="T44" t="str">
        <x:v>PMLR CoRL Proceedings</x:v>
      </x:c>
      <x:c r="U44" t="str">
        <x:v>P2</x:v>
      </x:c>
      <x:c r="V44"/>
      <x:c r="W44" t="str">
        <x:v>Official Verified</x:v>
      </x:c>
      <x:c r="X44" t="str">
        <x:v>2026-09-18</x:v>
      </x:c>
      <x:c r="Y44" t="str">
        <x:v>Dexterous</x:v>
      </x:c>
      <x:c r="Z44" t="str">
        <x:v>02_Papers/04_Dexterous/DexUMI.md</x:v>
      </x:c>
      <x:c r="AA44" t="str">
        <x:v>—</x:v>
      </x:c>
      <x:c r="AB44" t="str">
        <x:v>未可靠匹配</x:v>
      </x:c>
      <x:c r="AC44" t="str">
        <x:v>2026-09-25</x:v>
      </x:c>
      <x:c r="AD44" t="str">
        <x:v>如何以自然的人手操作方式低成本采集灵巧机器人示范。</x:v>
      </x:c>
      <x:c r="AE44" t="str">
        <x:v>Unknown / Needs Full-Paper Verification</x:v>
      </x:c>
      <x:c r="AF44" t="str">
        <x:v>Unknown / Needs Full-Paper Verification</x:v>
      </x:c>
      <x:c r="AG44" t="str">
        <x:v>已核验摘要未明确说明；需查阅论文方法与实验章节。</x:v>
      </x:c>
      <x:c r="AH44" t="str">
        <x:v>Unknown / Needs Full-Paper Verification</x:v>
      </x:c>
      <x:c r="AI44" t="str">
        <x:v>Unknown / Needs Full-Paper Verification</x:v>
      </x:c>
      <x:c r="AJ44" t="str">
        <x:v>Unknown / Needs Full-Paper Verification</x:v>
      </x:c>
      <x:c r="AK44" t="str">
        <x:v>Unknown / Needs Full-Paper Verification</x:v>
      </x:c>
      <x:c r="AL44" t="str">
        <x:v>Unknown / Needs Full-Paper Verification</x:v>
      </x:c>
      <x:c r="AM44" t="str">
        <x:v>Library Analysis / Research Note: Unknown / Needs Full-Paper Verification</x:v>
      </x:c>
      <x:c r="AN44" t="str">
        <x:v>Unknown / Needs Project-Specific Review</x:v>
      </x:c>
      <x:c r="AO44" t="str">
        <x:v>Unknown</x:v>
      </x:c>
      <x:c r="AP44" t="str">
        <x:v>B</x:v>
      </x:c>
      <x:c r="AQ44"/>
      <x:c r="AR44" t="str">
        <x:v>Unknown / Not Explicitly Reported in the currently accessible sources.</x:v>
      </x:c>
      <x:c r="AS44" t="str">
        <x:v>Unknown / Not Explicitly Reported in the currently accessible sources.</x:v>
      </x:c>
      <x:c r="AT44" t="str">
        <x:v>—</x:v>
      </x:c>
      <x:c r="AU44" t="str">
        <x:v>Unknown</x:v>
      </x:c>
      <x:c r="AV44" t="str">
        <x:v>B-Fulltext-Unavailable</x:v>
      </x:c>
      <x:c r="AW44" t="str">
        <x:v>Not Found</x:v>
      </x:c>
      <x:c r="AX44" t="str">
        <x:v>Unknown</x:v>
      </x:c>
      <x:c r="AY44" t="str">
        <x:v>Unknown</x:v>
      </x:c>
      <x:c r="AZ44" t="str">
        <x:v>https://raw.githubusercontent.com/mlresearch/v305/main/assets/xu25a/xu25a.pdf</x:v>
      </x:c>
      <x:c r="BA44" t="str">
        <x:v>No</x:v>
      </x:c>
      <x:c r="BB44" t="str">
        <x:v>No</x:v>
      </x:c>
      <x:c r="BC44" t="str">
        <x:v>No</x:v>
      </x:c>
      <x:c r="BD44" t="str">
        <x:v>No</x:v>
      </x:c>
      <x:c r="BE44" t="str">
        <x:v>No</x:v>
      </x:c>
      <x:c r="BF44" t="str">
        <x:v>No</x:v>
      </x:c>
      <x:c r="BG44" t="str">
        <x:v>No</x:v>
      </x:c>
      <x:c r="BH44" t="str">
        <x:v>Unresolved</x:v>
      </x:c>
      <x:c r="BI44" t="str">
        <x:v>Not Found After Verification</x:v>
      </x:c>
      <x:c r="BJ44" t="str">
        <x:v>Not Found After Verification</x:v>
      </x:c>
      <x:c r="BK44" t="str">
        <x:v>Audit logged - deep extraction pending</x:v>
      </x:c>
      <x:c r="BL44" t="str">
        <x:v>false</x:v>
      </x:c>
      <x:c r="BM44"/>
      <x:c r="BN44" t="str">
        <x:v>研究问题：如何以自然的人手操作方式低成本采集灵巧机器人示范。；之前方法的问题：人体与机器人手的本体差异会放大遥操作和策略学习难度。；核心思路：DexUMI 同时设计硬件与软件接口，缩小人手到不同机器人手的数据迁移差距。；为什么重要：展示采集装置与策略训练必须共同设计。；与当前项目的关系：Medium：可借鉴遥操作流程，但普通夹爪采集接口不同。；主要局限：两种灵巧手平台的结果不直接覆盖双普通夹爪。</x:v>
      </x:c>
      <x:c r="BO44" t="str">
        <x:v>人体与机器人手的本体差异会放大遥操作和策略学习难度。</x:v>
      </x:c>
      <x:c r="BP44" t="str">
        <x:v>DexUMI 同时设计硬件与软件接口，缩小人手到不同机器人手的数据迁移差距。</x:v>
      </x:c>
      <x:c r="BQ44"/>
      <x:c r="BR44" t="str">
        <x:v>官方摘要报告在两种真实灵巧手平台上的实验验证；统一数值需查正文。</x:v>
      </x:c>
      <x:c r="BS44" t="str">
        <x:v>展示采集装置与策略训练必须共同设计。</x:v>
      </x:c>
      <x:c r="BT44" t="str">
        <x:v>两种灵巧手平台的结果不直接覆盖双普通夹爪。</x:v>
      </x:c>
      <x:c r="BU44"/>
      <x:c r="BV44" t="str">
        <x:v>Medium：可借鉴遥操作流程，但普通夹爪采集接口不同。</x:v>
      </x:c>
      <x:c r="BW44" t="str">
        <x:v>OpenAlex 索引摘要; https://api.openalex.org/works/W4416623172; 核验于 2026-09-23. 仅为摘要级速读；原 Evidence Quality 不变。 - 核验层级：摘要有可追溯来源</x:v>
      </x:c>
      <x:c r="BX44" t="str">
        <x:v>Unresolved; no reliable citation service count</x:v>
      </x:c>
      <x:c r="BY44" t="n">
        <x:v>0</x:v>
      </x:c>
      <x:c r="BZ44" t="n">
        <x:v>2</x:v>
      </x:c>
    </x:row>
    <x:row r="45" ht="58" customHeight="1">
      <x:c r="A45" t="str">
        <x:v>D044</x:v>
      </x:c>
      <x:c r="B45" t="str">
        <x:v>RoboMonkey: Scaling Test-Time Sampling and Verification for Vision-Language-Action Models</x:v>
      </x:c>
      <x:c r="C45" t="n">
        <x:v>2025</x:v>
      </x:c>
      <x:c r="D45" t="str">
        <x:v>Method Paper</x:v>
      </x:c>
      <x:c r="E45" t="str">
        <x:v>CoRL</x:v>
      </x:c>
      <x:c r="F45" t="str">
        <x:v>Formal PMLR v305 / CoRL 2025</x:v>
      </x:c>
      <x:c r="G45" t="str">
        <x:v>Not CCF A (robotics venue extension; CCF row not asserted)</x:v>
      </x:c>
      <x:c r="H45" t="str">
        <x:v>VLA / Robot Foundation Models</x:v>
      </x:c>
      <x:c r="I45" t="str">
        <x:v>Test-Time Scaling / Verification</x:v>
      </x:c>
      <x:c r="J45" t="str">
        <x:v>VLA; Test-Time Scaling / Verification</x:v>
      </x:c>
      <x:c r="K45" t="e">
        <x:f>HYPERLINK("https://proceedings.mlr.press/v305/kwok25a.html","论文")</x:f>
        <x:v>HYPERLINK is not implemented. linkLocation=https://proceedings.mlr.press/v305/kwok25a.html, friendlyName=论文</x:v>
      </x:c>
      <x:c r="L45"/>
      <x:c r="M45"/>
      <x:c r="N45"/>
      <x:c r="O45" t="str">
        <x:v>Unknown</x:v>
      </x:c>
      <x:c r="P45" t="str">
        <x:v>Unknown</x:v>
      </x:c>
      <x:c r="Q45"/>
      <x:c r="R45" t="str">
        <x:v>Unknown</x:v>
      </x:c>
      <x:c r="S45" t="str">
        <x:v>Unknown</x:v>
      </x:c>
      <x:c r="T45" t="str">
        <x:v>PMLR CoRL Proceedings</x:v>
      </x:c>
      <x:c r="U45" t="str">
        <x:v>P1</x:v>
      </x:c>
      <x:c r="V45"/>
      <x:c r="W45" t="str">
        <x:v>Official Verified</x:v>
      </x:c>
      <x:c r="X45" t="str">
        <x:v>2026-09-18</x:v>
      </x:c>
      <x:c r="Y45" t="str">
        <x:v>VLA</x:v>
      </x:c>
      <x:c r="Z45" t="str">
        <x:v>02_Papers/01_VLA/RoboMonkey.md</x:v>
      </x:c>
      <x:c r="AA45" t="str">
        <x:v>—</x:v>
      </x:c>
      <x:c r="AB45" t="str">
        <x:v>未可靠匹配</x:v>
      </x:c>
      <x:c r="AC45" t="str">
        <x:v>2026-09-25</x:v>
      </x:c>
      <x:c r="AD45" t="str">
        <x:v>VLA 在开放真实环境中容易遇到未见状态，执行鲁棒性不足。</x:v>
      </x:c>
      <x:c r="AE45" t="str">
        <x:v>Unknown / Needs Full-Paper Verification</x:v>
      </x:c>
      <x:c r="AF45" t="str">
        <x:v>Unknown / Needs Full-Paper Verification</x:v>
      </x:c>
      <x:c r="AG45" t="str">
        <x:v>已核验摘要未明确说明；需查阅论文方法与实验章节。</x:v>
      </x:c>
      <x:c r="AH45" t="str">
        <x:v>Unknown / Needs Full-Paper Verification</x:v>
      </x:c>
      <x:c r="AI45" t="str">
        <x:v>Unknown / Needs Full-Paper Verification</x:v>
      </x:c>
      <x:c r="AJ45" t="str">
        <x:v>Unknown / Needs Full-Paper Verification</x:v>
      </x:c>
      <x:c r="AK45" t="str">
        <x:v>作者报告在新机器人设置中，同时微调 VLA 与动作验证器，比只调整部分模块高约 7%。</x:v>
      </x:c>
      <x:c r="AL45" t="str">
        <x:v>Unknown / Needs Full-Paper Verification</x:v>
      </x:c>
      <x:c r="AM45" t="str">
        <x:v>Library Analysis / Research Note: Unknown / Needs Full-Paper Verification</x:v>
      </x:c>
      <x:c r="AN45" t="str">
        <x:v>Unknown / Needs Project-Specific Review</x:v>
      </x:c>
      <x:c r="AO45" t="str">
        <x:v>Unknown</x:v>
      </x:c>
      <x:c r="AP45" t="str">
        <x:v>B</x:v>
      </x:c>
      <x:c r="AQ45"/>
      <x:c r="AR45" t="str">
        <x:v>Unknown / Not Explicitly Reported in the currently accessible sources.</x:v>
      </x:c>
      <x:c r="AS45" t="str">
        <x:v>Unknown / Not Explicitly Reported in the currently accessible sources.</x:v>
      </x:c>
      <x:c r="AT45" t="str">
        <x:v>—</x:v>
      </x:c>
      <x:c r="AU45" t="str">
        <x:v>Unknown</x:v>
      </x:c>
      <x:c r="AV45" t="str">
        <x:v>B-Fulltext-Unavailable</x:v>
      </x:c>
      <x:c r="AW45" t="str">
        <x:v>Not Found</x:v>
      </x:c>
      <x:c r="AX45" t="str">
        <x:v>Unknown</x:v>
      </x:c>
      <x:c r="AY45" t="str">
        <x:v>Unknown</x:v>
      </x:c>
      <x:c r="AZ45" t="str">
        <x:v>https://raw.githubusercontent.com/mlresearch/v305/main/assets/kwok25a/kwok25a.pdf</x:v>
      </x:c>
      <x:c r="BA45" t="str">
        <x:v>No</x:v>
      </x:c>
      <x:c r="BB45" t="str">
        <x:v>No</x:v>
      </x:c>
      <x:c r="BC45" t="str">
        <x:v>No</x:v>
      </x:c>
      <x:c r="BD45" t="str">
        <x:v>No</x:v>
      </x:c>
      <x:c r="BE45" t="str">
        <x:v>No</x:v>
      </x:c>
      <x:c r="BF45" t="str">
        <x:v>No</x:v>
      </x:c>
      <x:c r="BG45" t="str">
        <x:v>No</x:v>
      </x:c>
      <x:c r="BH45" t="str">
        <x:v>Unresolved</x:v>
      </x:c>
      <x:c r="BI45" t="str">
        <x:v>Not Found After Verification</x:v>
      </x:c>
      <x:c r="BJ45" t="str">
        <x:v>Not Found After Verification</x:v>
      </x:c>
      <x:c r="BK45" t="str">
        <x:v>Audit logged - deep extraction pending</x:v>
      </x:c>
      <x:c r="BL45" t="str">
        <x:v>false</x:v>
      </x:c>
      <x:c r="BM45"/>
      <x:c r="BN45" t="str">
        <x:v>研究问题：VLA 在开放真实环境中容易遇到未见状态，执行鲁棒性不足。；之前方法的问题：只靠训练好的动作预测器，测试时缺少可靠的候选动作验证。；核心思路：RoboMonkey 在测试时增加动作验证与计算调度，为 VLA 选择更可靠的执行动作。；主要结果：作者报告在新机器人设置中，同时微调 VLA 与动作验证器，比只调整部分模块高约 7%。；为什么重要：把 Action Verification 放入 VLA 真机执行环节。；与当前项目的关系：High：与双臂动作前检查和失败预防直接相关。；主要局限：额外验证会增加在线延迟，真机安全收益需单独评测。</x:v>
      </x:c>
      <x:c r="BO45" t="str">
        <x:v>只靠训练好的动作预测器，测试时缺少可靠的候选动作验证。</x:v>
      </x:c>
      <x:c r="BP45" t="str">
        <x:v>RoboMonkey 在测试时增加动作验证与计算调度，为 VLA 选择更可靠的执行动作。</x:v>
      </x:c>
      <x:c r="BQ45"/>
      <x:c r="BR45" t="str">
        <x:v>作者报告在新机器人设置中，同时微调 VLA 与动作验证器，比只调整部分模块高约 7%。</x:v>
      </x:c>
      <x:c r="BS45" t="str">
        <x:v>把 Action Verification 放入 VLA 真机执行环节。</x:v>
      </x:c>
      <x:c r="BT45" t="str">
        <x:v>额外验证会增加在线延迟，真机安全收益需单独评测。</x:v>
      </x:c>
      <x:c r="BU45"/>
      <x:c r="BV45" t="str">
        <x:v>High：与双臂动作前检查和失败预防直接相关。</x:v>
      </x:c>
      <x:c r="BW45" t="str">
        <x:v>官方摘要/论文页; https://arxiv.org/html/2506.17811; 核验于 2026-09-23. 仅为摘要级速读；原 Evidence Quality 不变。 - 核验层级：摘要有可追溯来源</x:v>
      </x:c>
      <x:c r="BX45" t="str">
        <x:v>Unresolved; no reliable citation service count</x:v>
      </x:c>
      <x:c r="BY45" t="n">
        <x:v>5</x:v>
      </x:c>
      <x:c r="BZ45" t="n">
        <x:v>2</x:v>
      </x:c>
    </x:row>
    <x:row r="46" ht="58" customHeight="1">
      <x:c r="A46" t="str">
        <x:v>D045</x:v>
      </x:c>
      <x:c r="B46" t="str">
        <x:v>A Survey on Vision-Language-Action Models for Embodied AI</x:v>
      </x:c>
      <x:c r="C46" t="n">
        <x:v>2024</x:v>
      </x:c>
      <x:c r="D46" t="str">
        <x:v>Survey / Review</x:v>
      </x:c>
      <x:c r="E46" t="str">
        <x:v>Survey / arXiv</x:v>
      </x:c>
      <x:c r="F46" t="str">
        <x:v>Preprint; formal status not verified</x:v>
      </x:c>
      <x:c r="G46" t="str">
        <x:v>Pending Official Recheck</x:v>
      </x:c>
      <x:c r="H46" t="str">
        <x:v>VLA / Robot Foundation Models; Survey / Review</x:v>
      </x:c>
      <x:c r="I46" t="str">
        <x:v>Embodied AI Survey</x:v>
      </x:c>
      <x:c r="J46" t="str">
        <x:v>VLA; Embodied AI Survey</x:v>
      </x:c>
      <x:c r="K46" t="e">
        <x:f>HYPERLINK("https://arxiv.org/abs/2405.14093","论文")</x:f>
        <x:v>HYPERLINK is not implemented. linkLocation=https://arxiv.org/abs/2405.14093, friendlyName=论文</x:v>
      </x:c>
      <x:c r="L46"/>
      <x:c r="M46"/>
      <x:c r="N46"/>
      <x:c r="O46" t="str">
        <x:v>Unknown</x:v>
      </x:c>
      <x:c r="P46" t="str">
        <x:v>Not applicable</x:v>
      </x:c>
      <x:c r="Q46"/>
      <x:c r="R46" t="str">
        <x:v>Unknown</x:v>
      </x:c>
      <x:c r="S46" t="str">
        <x:v>General</x:v>
      </x:c>
      <x:c r="T46" t="str">
        <x:v>arXiv</x:v>
      </x:c>
      <x:c r="U46" t="str">
        <x:v>P0</x:v>
      </x:c>
      <x:c r="V46" t="str">
        <x:v>arXiv v8 records IEEE TNNLS Early Access 2026; journal DOI needs direct publisher reconciliation.</x:v>
      </x:c>
      <x:c r="W46" t="str">
        <x:v>Cross-Verified</x:v>
      </x:c>
      <x:c r="X46" t="str">
        <x:v>2026-09-18</x:v>
      </x:c>
      <x:c r="Y46" t="str">
        <x:v>Survey / Review</x:v>
      </x:c>
      <x:c r="Z46" t="str">
        <x:v>02_Papers/09_Survey_Review/A_Survey_on_Vision-Language-Action_Models_for_Embodied_AI.md</x:v>
      </x:c>
      <x:c r="AA46" t="n">
        <x:v>381</x:v>
      </x:c>
      <x:c r="AB46" t="str">
        <x:v>Semantic Scholar</x:v>
      </x:c>
      <x:c r="AC46" t="str">
        <x:v>2026-09-25</x:v>
      </x:c>
      <x:c r="AD46" t="str">
        <x:v>VLA 方法快速增加，需要梳理它们的任务、架构与评测。</x:v>
      </x:c>
      <x:c r="AE46" t="str">
        <x:v>Unknown / Needs Full-Paper Verification</x:v>
      </x:c>
      <x:c r="AF46" t="str">
        <x:v>Unknown / Needs Full-Paper Verification</x:v>
      </x:c>
      <x:c r="AG46" t="str">
        <x:v>已核验摘要未明确说明；需查阅论文方法与实验章节。</x:v>
      </x:c>
      <x:c r="AH46" t="str">
        <x:v>Unknown / Needs Full-Paper Verification</x:v>
      </x:c>
      <x:c r="AI46" t="str">
        <x:v>Unknown / Needs Full-Paper Verification</x:v>
      </x:c>
      <x:c r="AJ46" t="str">
        <x:v>Unknown / Needs Full-Paper Verification</x:v>
      </x:c>
      <x:c r="AK46" t="str">
        <x:v>主要结果是分类与文献脉络，没有统一实验数字。</x:v>
      </x:c>
      <x:c r="AL46" t="str">
        <x:v>Unknown / Needs Full-Paper Verification</x:v>
      </x:c>
      <x:c r="AM46" t="str">
        <x:v>Library Analysis / Research Note: Unknown / Needs Full-Paper Verification</x:v>
      </x:c>
      <x:c r="AN46" t="str">
        <x:v>Unknown / Needs Project-Specific Review</x:v>
      </x:c>
      <x:c r="AO46" t="str">
        <x:v>Unknown</x:v>
      </x:c>
      <x:c r="AP46" t="str">
        <x:v>B</x:v>
      </x:c>
      <x:c r="AQ46"/>
      <x:c r="AR46" t="str">
        <x:v>Unknown / Not Explicitly Reported in the currently accessible sources.</x:v>
      </x:c>
      <x:c r="AS46" t="str">
        <x:v>Unknown / Not Explicitly Reported in the currently accessible sources.</x:v>
      </x:c>
      <x:c r="AT46" t="str">
        <x:v>https://www.semanticscholar.org/paper/ae9a2bcd460354c706aaea8797b1c2c15841a6b6</x:v>
      </x:c>
      <x:c r="AU46" t="str">
        <x:v>Unknown</x:v>
      </x:c>
      <x:c r="AV46" t="str">
        <x:v>B-Fulltext-Unavailable</x:v>
      </x:c>
      <x:c r="AW46" t="str">
        <x:v>Not Found</x:v>
      </x:c>
      <x:c r="AX46" t="str">
        <x:v>Unknown</x:v>
      </x:c>
      <x:c r="AY46" t="str">
        <x:v>Unknown</x:v>
      </x:c>
      <x:c r="AZ46" t="str">
        <x:v>https://arxiv.org/pdf/2405.14093</x:v>
      </x:c>
      <x:c r="BA46" t="str">
        <x:v>No</x:v>
      </x:c>
      <x:c r="BB46" t="str">
        <x:v>No</x:v>
      </x:c>
      <x:c r="BC46" t="str">
        <x:v>No</x:v>
      </x:c>
      <x:c r="BD46" t="str">
        <x:v>No</x:v>
      </x:c>
      <x:c r="BE46" t="str">
        <x:v>No</x:v>
      </x:c>
      <x:c r="BF46" t="str">
        <x:v>No</x:v>
      </x:c>
      <x:c r="BG46" t="str">
        <x:v>No</x:v>
      </x:c>
      <x:c r="BH46" t="str">
        <x:v>Matched</x:v>
      </x:c>
      <x:c r="BI46" t="str">
        <x:v>Not Found After Verification</x:v>
      </x:c>
      <x:c r="BJ46" t="str">
        <x:v>Not Found After Verification</x:v>
      </x:c>
      <x:c r="BK46" t="str">
        <x:v>Audit logged - deep extraction pending</x:v>
      </x:c>
      <x:c r="BL46" t="str">
        <x:v>false</x:v>
      </x:c>
      <x:c r="BM46"/>
      <x:c r="BN46" t="str">
        <x:v>研究问题：VLA 方法快速增加，需要梳理它们的任务、架构与评测。；之前方法的问题：单篇方法难给出具身 VLA 的整体发展图。；核心思路：综述 VLA 在具身 AI 中的主要技术路线与开放挑战。；主要结果：主要结果是分类与文献脉络，没有统一实验数字。；为什么重要：为挑选 VLA 基线和理解动作接口提供入口。；与当前项目的关系：High：未来项目方向可能涉及 VLA。；主要局限：新论文更新很快，综述统计需结合当前原始论文。</x:v>
      </x:c>
      <x:c r="BO46" t="str">
        <x:v>单篇方法难给出具身 VLA 的整体发展图。</x:v>
      </x:c>
      <x:c r="BP46" t="str">
        <x:v>综述 VLA 在具身 AI 中的主要技术路线与开放挑战。</x:v>
      </x:c>
      <x:c r="BQ46"/>
      <x:c r="BR46" t="str">
        <x:v>主要结果是分类与文献脉络，没有统一实验数字。</x:v>
      </x:c>
      <x:c r="BS46" t="str">
        <x:v>为挑选 VLA 基线和理解动作接口提供入口。</x:v>
      </x:c>
      <x:c r="BT46" t="str">
        <x:v>新论文更新很快，综述统计需结合当前原始论文。</x:v>
      </x:c>
      <x:c r="BU46"/>
      <x:c r="BV46" t="str">
        <x:v>High：未来项目方向可能涉及 VLA。</x:v>
      </x:c>
      <x:c r="BW46" t="str">
        <x:v>官方摘要/论文页; https://arxiv.org/html/2405.14093; 核验于 2026-09-23. 仅为摘要级速读；原 Evidence Quality 不变。 - 核验层级：摘要有可追溯来源</x:v>
      </x:c>
      <x:c r="BX46" t="str">
        <x:v>arxiv</x:v>
      </x:c>
      <x:c r="BY46" t="n">
        <x:v>20</x:v>
      </x:c>
      <x:c r="BZ46" t="n">
        <x:v>1</x:v>
      </x:c>
    </x:row>
    <x:row r="47" ht="58" customHeight="1">
      <x:c r="A47" t="str">
        <x:v>D046</x:v>
      </x:c>
      <x:c r="B47" t="str">
        <x:v>A Survey on Vision-Language-Action Models: An Action Tokenization Perspective</x:v>
      </x:c>
      <x:c r="C47" t="n">
        <x:v>2025</x:v>
      </x:c>
      <x:c r="D47" t="str">
        <x:v>Survey / Review</x:v>
      </x:c>
      <x:c r="E47" t="str">
        <x:v>Survey / arXiv</x:v>
      </x:c>
      <x:c r="F47" t="str">
        <x:v>Preprint; formal status not verified</x:v>
      </x:c>
      <x:c r="G47" t="str">
        <x:v>Pending Official Recheck</x:v>
      </x:c>
      <x:c r="H47" t="str">
        <x:v>VLA / Robot Foundation Models; Survey / Review</x:v>
      </x:c>
      <x:c r="I47" t="str">
        <x:v>VLA Action Tokenization</x:v>
      </x:c>
      <x:c r="J47" t="str">
        <x:v>Action Representation; VLA Action Tokenization</x:v>
      </x:c>
      <x:c r="K47" t="e">
        <x:f>HYPERLINK("https://arxiv.org/abs/2507.01925","论文")</x:f>
        <x:v>HYPERLINK is not implemented. linkLocation=https://arxiv.org/abs/2507.01925, friendlyName=论文</x:v>
      </x:c>
      <x:c r="L47"/>
      <x:c r="M47"/>
      <x:c r="N47"/>
      <x:c r="O47" t="str">
        <x:v>Unknown</x:v>
      </x:c>
      <x:c r="P47" t="str">
        <x:v>Not applicable</x:v>
      </x:c>
      <x:c r="Q47"/>
      <x:c r="R47" t="str">
        <x:v>Unknown</x:v>
      </x:c>
      <x:c r="S47" t="str">
        <x:v>General</x:v>
      </x:c>
      <x:c r="T47" t="str">
        <x:v>arXiv</x:v>
      </x:c>
      <x:c r="U47" t="str">
        <x:v>P1</x:v>
      </x:c>
      <x:c r="V47" t="str">
        <x:v>Taxonomy organized around action-token types.</x:v>
      </x:c>
      <x:c r="W47" t="str">
        <x:v>Cross-Verified</x:v>
      </x:c>
      <x:c r="X47" t="str">
        <x:v>2026-09-18</x:v>
      </x:c>
      <x:c r="Y47" t="str">
        <x:v>Survey / Review</x:v>
      </x:c>
      <x:c r="Z47" t="str">
        <x:v>02_Papers/09_Survey_Review/A_Survey_on_Vision-Language-Action_Models_An_Action_Tokenization_Perspective.md</x:v>
      </x:c>
      <x:c r="AA47" t="n">
        <x:v>1</x:v>
      </x:c>
      <x:c r="AB47" t="str">
        <x:v>OpenAlex</x:v>
      </x:c>
      <x:c r="AC47" t="str">
        <x:v>2026-09-25</x:v>
      </x:c>
      <x:c r="AD47" t="str">
        <x:v>不同 VLA 用不同方式表示机器人动作，比较困难。</x:v>
      </x:c>
      <x:c r="AE47" t="str">
        <x:v>Unknown / Needs Full-Paper Verification</x:v>
      </x:c>
      <x:c r="AF47" t="str">
        <x:v>Unknown / Needs Full-Paper Verification</x:v>
      </x:c>
      <x:c r="AG47" t="str">
        <x:v>已核验摘要未明确说明；需查阅论文方法与实验章节。</x:v>
      </x:c>
      <x:c r="AH47" t="str">
        <x:v>Unknown / Needs Full-Paper Verification</x:v>
      </x:c>
      <x:c r="AI47" t="str">
        <x:v>Unknown / Needs Full-Paper Verification</x:v>
      </x:c>
      <x:c r="AJ47" t="str">
        <x:v>Unknown / Needs Full-Paper Verification</x:v>
      </x:c>
      <x:c r="AK47" t="str">
        <x:v>提出统一比较视角；具体模型优劣仍需原始实验核验。</x:v>
      </x:c>
      <x:c r="AL47" t="str">
        <x:v>Unknown / Needs Full-Paper Verification</x:v>
      </x:c>
      <x:c r="AM47" t="str">
        <x:v>Library Analysis / Research Note: Unknown / Needs Full-Paper Verification</x:v>
      </x:c>
      <x:c r="AN47" t="str">
        <x:v>Unknown / Needs Project-Specific Review</x:v>
      </x:c>
      <x:c r="AO47" t="str">
        <x:v>Unknown</x:v>
      </x:c>
      <x:c r="AP47" t="str">
        <x:v>B</x:v>
      </x:c>
      <x:c r="AQ47"/>
      <x:c r="AR47" t="str">
        <x:v>Unknown / Not Explicitly Reported in the currently accessible sources.</x:v>
      </x:c>
      <x:c r="AS47" t="str">
        <x:v>Unknown / Not Explicitly Reported in the currently accessible sources.</x:v>
      </x:c>
      <x:c r="AT47" t="str">
        <x:v>https://openalex.org/W4417042701</x:v>
      </x:c>
      <x:c r="AU47" t="str">
        <x:v>Unknown</x:v>
      </x:c>
      <x:c r="AV47" t="str">
        <x:v>B-Fulltext-Unavailable</x:v>
      </x:c>
      <x:c r="AW47" t="str">
        <x:v>Not Found</x:v>
      </x:c>
      <x:c r="AX47" t="str">
        <x:v>Unknown</x:v>
      </x:c>
      <x:c r="AY47" t="str">
        <x:v>Unknown</x:v>
      </x:c>
      <x:c r="AZ47" t="str">
        <x:v>https://arxiv.org/pdf/2507.01925</x:v>
      </x:c>
      <x:c r="BA47" t="str">
        <x:v>No</x:v>
      </x:c>
      <x:c r="BB47" t="str">
        <x:v>No</x:v>
      </x:c>
      <x:c r="BC47" t="str">
        <x:v>No</x:v>
      </x:c>
      <x:c r="BD47" t="str">
        <x:v>No</x:v>
      </x:c>
      <x:c r="BE47" t="str">
        <x:v>No</x:v>
      </x:c>
      <x:c r="BF47" t="str">
        <x:v>No</x:v>
      </x:c>
      <x:c r="BG47" t="str">
        <x:v>No</x:v>
      </x:c>
      <x:c r="BH47" t="str">
        <x:v>Matched</x:v>
      </x:c>
      <x:c r="BI47" t="str">
        <x:v>Not Found After Verification</x:v>
      </x:c>
      <x:c r="BJ47" t="str">
        <x:v>Not Found After Verification</x:v>
      </x:c>
      <x:c r="BK47" t="str">
        <x:v>Audit logged - deep extraction pending</x:v>
      </x:c>
      <x:c r="BL47" t="str">
        <x:v>false</x:v>
      </x:c>
      <x:c r="BM47"/>
      <x:c r="BN47" t="str">
        <x:v>研究问题：不同 VLA 用不同方式表示机器人动作，比较困难。；之前方法的问题：表面上架构各异的模型，可能主要差在动作 token 设计。；核心思路：以 Action Tokenization 为主线整理 VLA 动作编码与模型结构。；主要结果：提出统一比较视角；具体模型优劣仍需原始实验核验。；为什么重要：直接帮助定义双臂普通夹爪的 VLA Action Space。；与当前项目的关系：High：动作表示是项目核心设计决策。；主要局限：综述分类不能证明某一种 token 化适合真机双臂。</x:v>
      </x:c>
      <x:c r="BO47" t="str">
        <x:v>表面上架构各异的模型，可能主要差在动作 token 设计。</x:v>
      </x:c>
      <x:c r="BP47" t="str">
        <x:v>以 Action Tokenization 为主线整理 VLA 动作编码与模型结构。</x:v>
      </x:c>
      <x:c r="BQ47"/>
      <x:c r="BR47" t="str">
        <x:v>提出统一比较视角；具体模型优劣仍需原始实验核验。</x:v>
      </x:c>
      <x:c r="BS47" t="str">
        <x:v>直接帮助定义双臂普通夹爪的 VLA Action Space。</x:v>
      </x:c>
      <x:c r="BT47" t="str">
        <x:v>综述分类不能证明某一种 token 化适合真机双臂。</x:v>
      </x:c>
      <x:c r="BU47"/>
      <x:c r="BV47" t="str">
        <x:v>High：动作表示是项目核心设计决策。</x:v>
      </x:c>
      <x:c r="BW47" t="str">
        <x:v>官方摘要/论文页; https://arxiv.org/html/2507.01925; 核验于 2026-09-23. 仅为摘要级速读；原 Evidence Quality 不变。 - 核验层级：摘要有可追溯来源</x:v>
      </x:c>
      <x:c r="BX47" t="str">
        <x:v>final-arxiv</x:v>
      </x:c>
      <x:c r="BY47" t="n">
        <x:v>18</x:v>
      </x:c>
      <x:c r="BZ47" t="n">
        <x:v>3</x:v>
      </x:c>
    </x:row>
    <x:row r="48" ht="58" customHeight="1">
      <x:c r="A48" t="str">
        <x:v>D047</x:v>
      </x:c>
      <x:c r="B48" t="str">
        <x:v>What Foundation Models can Bring for Robot Learning in Manipulation: A Survey</x:v>
      </x:c>
      <x:c r="C48" t="n">
        <x:v>2024</x:v>
      </x:c>
      <x:c r="D48" t="str">
        <x:v>Survey / Review</x:v>
      </x:c>
      <x:c r="E48" t="str">
        <x:v>Survey / arXiv</x:v>
      </x:c>
      <x:c r="F48" t="str">
        <x:v>Preprint; formal status not verified</x:v>
      </x:c>
      <x:c r="G48" t="str">
        <x:v>Pending Official Recheck</x:v>
      </x:c>
      <x:c r="H48" t="str">
        <x:v>VLA / Robot Foundation Models; Robot Manipulation / IL / Diffusion; Survey / Review</x:v>
      </x:c>
      <x:c r="I48" t="str">
        <x:v>Foundation Models for Manipulation</x:v>
      </x:c>
      <x:c r="J48" t="str">
        <x:v>Robot Foundation Models; Foundation Models for Manipulation</x:v>
      </x:c>
      <x:c r="K48" t="e">
        <x:f>HYPERLINK("https://journals.sagepub.com/doi/10.1177/02783649251390579","论文")</x:f>
        <x:v>HYPERLINK is not implemented. linkLocation=https://journals.sagepub.com/doi/10.1177/02783649251390579, friendlyName=论文</x:v>
      </x:c>
      <x:c r="L48"/>
      <x:c r="M48"/>
      <x:c r="N48"/>
      <x:c r="O48" t="str">
        <x:v>Unknown</x:v>
      </x:c>
      <x:c r="P48" t="str">
        <x:v>Not applicable</x:v>
      </x:c>
      <x:c r="Q48"/>
      <x:c r="R48" t="str">
        <x:v>Unknown</x:v>
      </x:c>
      <x:c r="S48" t="str">
        <x:v>General</x:v>
      </x:c>
      <x:c r="T48" t="str">
        <x:v>arXiv</x:v>
      </x:c>
      <x:c r="U48" t="str">
        <x:v>P0</x:v>
      </x:c>
      <x:c r="V48" t="str">
        <x:v>Publisher page says online-first 2025-11-20; earlier arXiv 2024 version.</x:v>
      </x:c>
      <x:c r="W48" t="str">
        <x:v>Cross-Verified</x:v>
      </x:c>
      <x:c r="X48" t="str">
        <x:v>2026-09-18</x:v>
      </x:c>
      <x:c r="Y48" t="str">
        <x:v>Survey / Review</x:v>
      </x:c>
      <x:c r="Z48" t="str">
        <x:v>02_Papers/09_Survey_Review/What_Foundation_Models_can_Bring_for_Robot_Learning_in_Manipulation_A_Survey.md</x:v>
      </x:c>
      <x:c r="AA48" t="n">
        <x:v>7</x:v>
      </x:c>
      <x:c r="AB48" t="str">
        <x:v>Crossref</x:v>
      </x:c>
      <x:c r="AC48" t="str">
        <x:v>2026-09-25</x:v>
      </x:c>
      <x:c r="AD48" t="str">
        <x:v>基础模型能否帮助机器人形成更通用的操作能力。</x:v>
      </x:c>
      <x:c r="AE48" t="str">
        <x:v>Unknown / Needs Full-Paper Verification</x:v>
      </x:c>
      <x:c r="AF48" t="str">
        <x:v>Unknown / Needs Full-Paper Verification</x:v>
      </x:c>
      <x:c r="AG48" t="str">
        <x:v>已核验摘要未明确说明；需查阅论文方法与实验章节。</x:v>
      </x:c>
      <x:c r="AH48" t="str">
        <x:v>Unknown / Needs Full-Paper Verification</x:v>
      </x:c>
      <x:c r="AI48" t="str">
        <x:v>Unknown / Needs Full-Paper Verification</x:v>
      </x:c>
      <x:c r="AJ48" t="str">
        <x:v>Unknown / Needs Full-Paper Verification</x:v>
      </x:c>
      <x:c r="AK48" t="str">
        <x:v>论文提出整体研究框架；具体实验结论需看所引用原始工作。</x:v>
      </x:c>
      <x:c r="AL48" t="str">
        <x:v>Unknown / Needs Full-Paper Verification</x:v>
      </x:c>
      <x:c r="AM48" t="str">
        <x:v>Library Analysis / Research Note: Unknown / Needs Full-Paper Verification</x:v>
      </x:c>
      <x:c r="AN48" t="str">
        <x:v>Unknown / Needs Project-Specific Review</x:v>
      </x:c>
      <x:c r="AO48" t="str">
        <x:v>Unknown</x:v>
      </x:c>
      <x:c r="AP48" t="str">
        <x:v>B</x:v>
      </x:c>
      <x:c r="AQ48"/>
      <x:c r="AR48" t="str">
        <x:v>Unknown / Not Explicitly Reported in the currently accessible sources.</x:v>
      </x:c>
      <x:c r="AS48" t="str">
        <x:v>Unknown / Not Explicitly Reported in the currently accessible sources.</x:v>
      </x:c>
      <x:c r="AT48" t="str">
        <x:v>https://api.crossref.org/works/10.1177/02783649251390579</x:v>
      </x:c>
      <x:c r="AU48" t="str">
        <x:v>Unknown</x:v>
      </x:c>
      <x:c r="AV48" t="str">
        <x:v>B-Fulltext-Unavailable</x:v>
      </x:c>
      <x:c r="AW48" t="str">
        <x:v>Not Found</x:v>
      </x:c>
      <x:c r="AX48" t="str">
        <x:v>Unknown</x:v>
      </x:c>
      <x:c r="AY48" t="str">
        <x:v>Unknown</x:v>
      </x:c>
      <x:c r="AZ48" t="str">
        <x:v>https://arxiv.org/pdf/2404.18201</x:v>
      </x:c>
      <x:c r="BA48" t="str">
        <x:v>No</x:v>
      </x:c>
      <x:c r="BB48" t="str">
        <x:v>No</x:v>
      </x:c>
      <x:c r="BC48" t="str">
        <x:v>No</x:v>
      </x:c>
      <x:c r="BD48" t="str">
        <x:v>No</x:v>
      </x:c>
      <x:c r="BE48" t="str">
        <x:v>No</x:v>
      </x:c>
      <x:c r="BF48" t="str">
        <x:v>No</x:v>
      </x:c>
      <x:c r="BG48" t="str">
        <x:v>No</x:v>
      </x:c>
      <x:c r="BH48" t="str">
        <x:v>Matched</x:v>
      </x:c>
      <x:c r="BI48" t="str">
        <x:v>Not Found After Verification</x:v>
      </x:c>
      <x:c r="BJ48" t="str">
        <x:v>Not Found After Verification</x:v>
      </x:c>
      <x:c r="BK48" t="str">
        <x:v>Audit logged - deep extraction pending</x:v>
      </x:c>
      <x:c r="BL48" t="str">
        <x:v>false</x:v>
      </x:c>
      <x:c r="BM48"/>
      <x:c r="BN48" t="str">
        <x:v>研究问题：基础模型能否帮助机器人形成更通用的操作能力。；之前方法的问题：单个感知或规划模块改进不一定带来完整操作系统的泛化。；核心思路：建立综述框架，讨论 foundation models 在机器人学习各模块的作用。；主要结果：论文提出整体研究框架；具体实验结论需看所引用原始工作。；为什么重要：提醒未来 VLA 方案同时考虑感知、动作、数据和评测。；与当前项目的关系：Medium：适合技术路线规划。；主要局限：综述观点不能代替本项目真机双臂实验。</x:v>
      </x:c>
      <x:c r="BO48" t="str">
        <x:v>单个感知或规划模块改进不一定带来完整操作系统的泛化。</x:v>
      </x:c>
      <x:c r="BP48" t="str">
        <x:v>建立综述框架，讨论 foundation models 在机器人学习各模块的作用。</x:v>
      </x:c>
      <x:c r="BQ48"/>
      <x:c r="BR48" t="str">
        <x:v>论文提出整体研究框架；具体实验结论需看所引用原始工作。</x:v>
      </x:c>
      <x:c r="BS48" t="str">
        <x:v>提醒未来 VLA 方案同时考虑感知、动作、数据和评测。</x:v>
      </x:c>
      <x:c r="BT48" t="str">
        <x:v>综述观点不能代替本项目真机双臂实验。</x:v>
      </x:c>
      <x:c r="BU48"/>
      <x:c r="BV48" t="str">
        <x:v>Medium：适合技术路线规划。</x:v>
      </x:c>
      <x:c r="BW48" t="str">
        <x:v>OpenAlex 索引摘要; https://api.openalex.org/works/W4416422407; 核验于 2026-09-23. 仅为摘要级速读；原 Evidence Quality 不变。 - 核验层级：摘要有可追溯来源</x:v>
      </x:c>
      <x:c r="BX48" t="str">
        <x:v>crossref-exact-title-pdf-authors</x:v>
      </x:c>
      <x:c r="BY48" t="n">
        <x:v>0</x:v>
      </x:c>
      <x:c r="BZ48" t="n">
        <x:v>0</x:v>
      </x:c>
    </x:row>
    <x:row r="49" ht="58" customHeight="1">
      <x:c r="A49" t="str">
        <x:v>D048</x:v>
      </x:c>
      <x:c r="B49" t="str">
        <x:v>A Survey on Robotics with Foundation Models: Toward Embodied AI</x:v>
      </x:c>
      <x:c r="C49" t="n">
        <x:v>2024</x:v>
      </x:c>
      <x:c r="D49" t="str">
        <x:v>Survey / Review</x:v>
      </x:c>
      <x:c r="E49" t="str">
        <x:v>Survey / arXiv</x:v>
      </x:c>
      <x:c r="F49" t="str">
        <x:v>Preprint; formal status not verified</x:v>
      </x:c>
      <x:c r="G49" t="str">
        <x:v>Pending Official Recheck</x:v>
      </x:c>
      <x:c r="H49" t="str">
        <x:v>VLA / Robot Foundation Models; Robot Manipulation / IL / Diffusion; Survey / Review</x:v>
      </x:c>
      <x:c r="I49" t="str">
        <x:v>Embodied AI / Robot Learning</x:v>
      </x:c>
      <x:c r="J49" t="str">
        <x:v>Robot Foundation Models; Embodied AI / Robot Learning</x:v>
      </x:c>
      <x:c r="K49" t="e">
        <x:f>HYPERLINK("https://arxiv.org/abs/2402.02385","论文")</x:f>
        <x:v>HYPERLINK is not implemented. linkLocation=https://arxiv.org/abs/2402.02385, friendlyName=论文</x:v>
      </x:c>
      <x:c r="L49"/>
      <x:c r="M49"/>
      <x:c r="N49"/>
      <x:c r="O49" t="str">
        <x:v>Unknown</x:v>
      </x:c>
      <x:c r="P49" t="str">
        <x:v>Not applicable</x:v>
      </x:c>
      <x:c r="Q49"/>
      <x:c r="R49" t="str">
        <x:v>Unknown</x:v>
      </x:c>
      <x:c r="S49" t="str">
        <x:v>General</x:v>
      </x:c>
      <x:c r="T49" t="str">
        <x:v>arXiv</x:v>
      </x:c>
      <x:c r="U49" t="str">
        <x:v>P0</x:v>
      </x:c>
      <x:c r="V49" t="str">
        <x:v>Covers planning, control, datasets, simulators and benchmarks.</x:v>
      </x:c>
      <x:c r="W49" t="str">
        <x:v>Cross-Verified</x:v>
      </x:c>
      <x:c r="X49" t="str">
        <x:v>2026-09-18</x:v>
      </x:c>
      <x:c r="Y49" t="str">
        <x:v>Survey / Review</x:v>
      </x:c>
      <x:c r="Z49" t="str">
        <x:v>02_Papers/09_Survey_Review/A_Survey_on_Robotics_with_Foundation_Models_Toward_Embodied_AI.md</x:v>
      </x:c>
      <x:c r="AA49" t="n">
        <x:v>4</x:v>
      </x:c>
      <x:c r="AB49" t="str">
        <x:v>OpenAlex</x:v>
      </x:c>
      <x:c r="AC49" t="str">
        <x:v>2026-09-25</x:v>
      </x:c>
      <x:c r="AD49" t="str">
        <x:v>基础模型在机器人具身任务中如何发挥作用。</x:v>
      </x:c>
      <x:c r="AE49" t="str">
        <x:v>Unknown / Needs Full-Paper Verification</x:v>
      </x:c>
      <x:c r="AF49" t="str">
        <x:v>Unknown / Needs Full-Paper Verification</x:v>
      </x:c>
      <x:c r="AG49" t="str">
        <x:v>已核验摘要未明确说明；需查阅论文方法与实验章节。</x:v>
      </x:c>
      <x:c r="AH49" t="str">
        <x:v>Unknown / Needs Full-Paper Verification</x:v>
      </x:c>
      <x:c r="AI49" t="str">
        <x:v>Unknown / Needs Full-Paper Verification</x:v>
      </x:c>
      <x:c r="AJ49" t="str">
        <x:v>Unknown / Needs Full-Paper Verification</x:v>
      </x:c>
      <x:c r="AK49" t="str">
        <x:v>主要贡献是研究分类；不以单项任务成功率作为综述结论。</x:v>
      </x:c>
      <x:c r="AL49" t="str">
        <x:v>Unknown / Needs Full-Paper Verification</x:v>
      </x:c>
      <x:c r="AM49" t="str">
        <x:v>Library Analysis / Research Note: Unknown / Needs Full-Paper Verification</x:v>
      </x:c>
      <x:c r="AN49" t="str">
        <x:v>Unknown / Needs Project-Specific Review</x:v>
      </x:c>
      <x:c r="AO49" t="str">
        <x:v>Unknown</x:v>
      </x:c>
      <x:c r="AP49" t="str">
        <x:v>B</x:v>
      </x:c>
      <x:c r="AQ49"/>
      <x:c r="AR49" t="str">
        <x:v>Unknown / Not Explicitly Reported in the currently accessible sources.</x:v>
      </x:c>
      <x:c r="AS49" t="str">
        <x:v>Unknown / Not Explicitly Reported in the currently accessible sources.</x:v>
      </x:c>
      <x:c r="AT49" t="str">
        <x:v>https://openalex.org/W4391590994</x:v>
      </x:c>
      <x:c r="AU49" t="str">
        <x:v>Unknown</x:v>
      </x:c>
      <x:c r="AV49" t="str">
        <x:v>B-Fulltext-Unavailable</x:v>
      </x:c>
      <x:c r="AW49" t="str">
        <x:v>Not Found</x:v>
      </x:c>
      <x:c r="AX49" t="str">
        <x:v>Unknown</x:v>
      </x:c>
      <x:c r="AY49" t="str">
        <x:v>Unknown</x:v>
      </x:c>
      <x:c r="AZ49" t="str">
        <x:v>https://arxiv.org/pdf/2402.02385</x:v>
      </x:c>
      <x:c r="BA49" t="str">
        <x:v>No</x:v>
      </x:c>
      <x:c r="BB49" t="str">
        <x:v>No</x:v>
      </x:c>
      <x:c r="BC49" t="str">
        <x:v>No</x:v>
      </x:c>
      <x:c r="BD49" t="str">
        <x:v>No</x:v>
      </x:c>
      <x:c r="BE49" t="str">
        <x:v>No</x:v>
      </x:c>
      <x:c r="BF49" t="str">
        <x:v>No</x:v>
      </x:c>
      <x:c r="BG49" t="str">
        <x:v>No</x:v>
      </x:c>
      <x:c r="BH49" t="str">
        <x:v>Matched</x:v>
      </x:c>
      <x:c r="BI49" t="str">
        <x:v>Not Found After Verification</x:v>
      </x:c>
      <x:c r="BJ49" t="str">
        <x:v>Not Found After Verification</x:v>
      </x:c>
      <x:c r="BK49" t="str">
        <x:v>Audit logged - deep extraction pending</x:v>
      </x:c>
      <x:c r="BL49" t="str">
        <x:v>false</x:v>
      </x:c>
      <x:c r="BM49"/>
      <x:c r="BN49" t="str">
        <x:v>研究问题：基础模型在机器人具身任务中如何发挥作用。；之前方法的问题：视觉、语言与控制研究各自发展，尚需统一的系统视角。；核心思路：综述 foundation models 在机器人感知、规划和动作学习中的应用与挑战。；主要结果：主要贡献是研究分类；不以单项任务成功率作为综述结论。；为什么重要：帮助区分大模型推理能力与机器人可执行能力。；与当前项目的关系：Medium：可用于规划未来 VLA 技术路线。；主要局限：需回到每篇原始方法论文确认数字与真实机器人证据。</x:v>
      </x:c>
      <x:c r="BO49" t="str">
        <x:v>视觉、语言与控制研究各自发展，尚需统一的系统视角。</x:v>
      </x:c>
      <x:c r="BP49" t="str">
        <x:v>综述 foundation models 在机器人感知、规划和动作学习中的应用与挑战。</x:v>
      </x:c>
      <x:c r="BQ49"/>
      <x:c r="BR49" t="str">
        <x:v>主要贡献是研究分类；不以单项任务成功率作为综述结论。</x:v>
      </x:c>
      <x:c r="BS49" t="str">
        <x:v>帮助区分大模型推理能力与机器人可执行能力。</x:v>
      </x:c>
      <x:c r="BT49" t="str">
        <x:v>需回到每篇原始方法论文确认数字与真实机器人证据。</x:v>
      </x:c>
      <x:c r="BU49"/>
      <x:c r="BV49" t="str">
        <x:v>Medium：可用于规划未来 VLA 技术路线。</x:v>
      </x:c>
      <x:c r="BW49" t="str">
        <x:v>官方摘要/论文页; https://arxiv.org/html/2402.02385; 核验于 2026-09-23. 仅为摘要级速读；原 Evidence Quality 不变。 - 核验层级：摘要有可追溯来源</x:v>
      </x:c>
      <x:c r="BX49" t="str">
        <x:v>arxiv-source-exact</x:v>
      </x:c>
      <x:c r="BY49" t="n">
        <x:v>2</x:v>
      </x:c>
      <x:c r="BZ49" t="n">
        <x:v>0</x:v>
      </x:c>
    </x:row>
    <x:row r="50" ht="58" customHeight="1">
      <x:c r="A50" t="str">
        <x:v>D049</x:v>
      </x:c>
      <x:c r="B50" t="str">
        <x:v>Learning by Watching: A Review of Video-Based Learning Approaches for Robot Manipulation</x:v>
      </x:c>
      <x:c r="C50" t="n">
        <x:v>2024</x:v>
      </x:c>
      <x:c r="D50" t="str">
        <x:v>Survey / Review</x:v>
      </x:c>
      <x:c r="E50" t="str">
        <x:v>Survey / arXiv</x:v>
      </x:c>
      <x:c r="F50" t="str">
        <x:v>Preprint; formal status not verified</x:v>
      </x:c>
      <x:c r="G50" t="str">
        <x:v>Pending Official Recheck</x:v>
      </x:c>
      <x:c r="H50" t="str">
        <x:v>Robot Manipulation / IL / Diffusion; Survey / Review</x:v>
      </x:c>
      <x:c r="I50" t="str">
        <x:v>Video-Based Robot Learning</x:v>
      </x:c>
      <x:c r="J50" t="str">
        <x:v>Human Video; Video-Based Robot Learning</x:v>
      </x:c>
      <x:c r="K50" t="e">
        <x:f>HYPERLINK("https://arxiv.org/abs/2402.07127","论文")</x:f>
        <x:v>HYPERLINK is not implemented. linkLocation=https://arxiv.org/abs/2402.07127, friendlyName=论文</x:v>
      </x:c>
      <x:c r="L50"/>
      <x:c r="M50"/>
      <x:c r="N50"/>
      <x:c r="O50" t="str">
        <x:v>Unknown</x:v>
      </x:c>
      <x:c r="P50" t="str">
        <x:v>Not applicable</x:v>
      </x:c>
      <x:c r="Q50"/>
      <x:c r="R50" t="str">
        <x:v>Unknown</x:v>
      </x:c>
      <x:c r="S50" t="str">
        <x:v>General</x:v>
      </x:c>
      <x:c r="T50" t="str">
        <x:v>arXiv</x:v>
      </x:c>
      <x:c r="U50" t="str">
        <x:v>P0</x:v>
      </x:c>
      <x:c r="V50" t="str">
        <x:v>Reviews learning from unstructured human video, representations and benchmarks.</x:v>
      </x:c>
      <x:c r="W50" t="str">
        <x:v>Cross-Verified</x:v>
      </x:c>
      <x:c r="X50" t="str">
        <x:v>2026-09-18</x:v>
      </x:c>
      <x:c r="Y50" t="str">
        <x:v>Survey / Review</x:v>
      </x:c>
      <x:c r="Z50" t="str">
        <x:v>02_Papers/09_Survey_Review/Learning_by_Watching.md</x:v>
      </x:c>
      <x:c r="AA50" t="n">
        <x:v>3</x:v>
      </x:c>
      <x:c r="AB50" t="str">
        <x:v>OpenAlex</x:v>
      </x:c>
      <x:c r="AC50" t="str">
        <x:v>2026-09-25</x:v>
      </x:c>
      <x:c r="AD50" t="str">
        <x:v>机器人操作数据稀缺且分布易受人工筛选影响。</x:v>
      </x:c>
      <x:c r="AE50" t="str">
        <x:v>Unknown / Needs Full-Paper Verification</x:v>
      </x:c>
      <x:c r="AF50" t="str">
        <x:v>Unknown / Needs Full-Paper Verification</x:v>
      </x:c>
      <x:c r="AG50" t="str">
        <x:v>已核验摘要未明确说明；需查阅论文方法与实验章节。</x:v>
      </x:c>
      <x:c r="AH50" t="str">
        <x:v>Unknown / Needs Full-Paper Verification</x:v>
      </x:c>
      <x:c r="AI50" t="str">
        <x:v>Unknown / Needs Full-Paper Verification</x:v>
      </x:c>
      <x:c r="AJ50" t="str">
        <x:v>Unknown / Needs Full-Paper Verification</x:v>
      </x:c>
      <x:c r="AK50" t="str">
        <x:v>主要为研究整理，不能用一个指标总结。</x:v>
      </x:c>
      <x:c r="AL50" t="str">
        <x:v>Unknown / Needs Full-Paper Verification</x:v>
      </x:c>
      <x:c r="AM50" t="str">
        <x:v>Library Analysis / Research Note: Unknown / Needs Full-Paper Verification</x:v>
      </x:c>
      <x:c r="AN50" t="str">
        <x:v>Unknown / Needs Project-Specific Review</x:v>
      </x:c>
      <x:c r="AO50" t="str">
        <x:v>Unknown</x:v>
      </x:c>
      <x:c r="AP50" t="str">
        <x:v>B</x:v>
      </x:c>
      <x:c r="AQ50"/>
      <x:c r="AR50" t="str">
        <x:v>Unknown / Not Explicitly Reported in the currently accessible sources.</x:v>
      </x:c>
      <x:c r="AS50" t="str">
        <x:v>Unknown / Not Explicitly Reported in the currently accessible sources.</x:v>
      </x:c>
      <x:c r="AT50" t="str">
        <x:v>https://openalex.org/W4391800778</x:v>
      </x:c>
      <x:c r="AU50" t="str">
        <x:v>Unknown</x:v>
      </x:c>
      <x:c r="AV50" t="str">
        <x:v>B-Fulltext-Unavailable</x:v>
      </x:c>
      <x:c r="AW50" t="str">
        <x:v>Not Found</x:v>
      </x:c>
      <x:c r="AX50" t="str">
        <x:v>Unknown</x:v>
      </x:c>
      <x:c r="AY50" t="str">
        <x:v>Unknown</x:v>
      </x:c>
      <x:c r="AZ50" t="str">
        <x:v>https://arxiv.org/pdf/2402.07127</x:v>
      </x:c>
      <x:c r="BA50" t="str">
        <x:v>No</x:v>
      </x:c>
      <x:c r="BB50" t="str">
        <x:v>No</x:v>
      </x:c>
      <x:c r="BC50" t="str">
        <x:v>No</x:v>
      </x:c>
      <x:c r="BD50" t="str">
        <x:v>No</x:v>
      </x:c>
      <x:c r="BE50" t="str">
        <x:v>No</x:v>
      </x:c>
      <x:c r="BF50" t="str">
        <x:v>No</x:v>
      </x:c>
      <x:c r="BG50" t="str">
        <x:v>No</x:v>
      </x:c>
      <x:c r="BH50" t="str">
        <x:v>Matched</x:v>
      </x:c>
      <x:c r="BI50" t="str">
        <x:v>Not Found After Verification</x:v>
      </x:c>
      <x:c r="BJ50" t="str">
        <x:v>Not Found After Verification</x:v>
      </x:c>
      <x:c r="BK50" t="str">
        <x:v>Audit logged - deep extraction pending</x:v>
      </x:c>
      <x:c r="BL50" t="str">
        <x:v>false</x:v>
      </x:c>
      <x:c r="BM50"/>
      <x:c r="BN50" t="str">
        <x:v>研究问题：机器人操作数据稀缺且分布易受人工筛选影响。；之前方法的问题：只用精心挑选的示范难覆盖真实世界变化。；核心思路：围绕“通过观察学习”整理人类视频、机器人数据与迁移方法。；主要结果：主要为研究整理，不能用一个指标总结。；为什么重要：帮助决定是否利用人类视频补充双臂示范。；与当前项目的关系：Medium：与低成本数据收集相关。；主要局限：视频观察与可执行机器人动作之间仍有本体差异。</x:v>
      </x:c>
      <x:c r="BO50" t="str">
        <x:v>只用精心挑选的示范难覆盖真实世界变化。</x:v>
      </x:c>
      <x:c r="BP50" t="str">
        <x:v>围绕“通过观察学习”整理人类视频、机器人数据与迁移方法。</x:v>
      </x:c>
      <x:c r="BQ50"/>
      <x:c r="BR50" t="str">
        <x:v>主要为研究整理，不能用一个指标总结。</x:v>
      </x:c>
      <x:c r="BS50" t="str">
        <x:v>帮助决定是否利用人类视频补充双臂示范。</x:v>
      </x:c>
      <x:c r="BT50" t="str">
        <x:v>视频观察与可执行机器人动作之间仍有本体差异。</x:v>
      </x:c>
      <x:c r="BU50"/>
      <x:c r="BV50" t="str">
        <x:v>Medium：与低成本数据收集相关。</x:v>
      </x:c>
      <x:c r="BW50" t="str">
        <x:v>官方摘要/论文页; https://arxiv.org/html/2402.07127; 核验于 2026-09-23. 仅为摘要级速读；原 Evidence Quality 不变。 - 核验层级：摘要有可追溯来源</x:v>
      </x:c>
      <x:c r="BX50" t="str">
        <x:v>arxiv-source-exact</x:v>
      </x:c>
      <x:c r="BY50" t="n">
        <x:v>8</x:v>
      </x:c>
      <x:c r="BZ50" t="n">
        <x:v>0</x:v>
      </x:c>
    </x:row>
    <x:row r="51" ht="58" customHeight="1">
      <x:c r="A51" t="str">
        <x:v>D050</x:v>
      </x:c>
      <x:c r="B51" t="str">
        <x:v>Survey of Learning-Based Approaches for Robotic In-Hand Manipulation</x:v>
      </x:c>
      <x:c r="C51" t="n">
        <x:v>2024</x:v>
      </x:c>
      <x:c r="D51" t="str">
        <x:v>Survey / Review</x:v>
      </x:c>
      <x:c r="E51" t="str">
        <x:v>Survey / journal</x:v>
      </x:c>
      <x:c r="F51" t="str">
        <x:v>Journal review</x:v>
      </x:c>
      <x:c r="G51" t="str">
        <x:v>Not Applicable (not CCF conference)</x:v>
      </x:c>
      <x:c r="H51" t="str">
        <x:v>Dexterous Hand / Dexterous Manipulation; Survey / Review</x:v>
      </x:c>
      <x:c r="I51" t="str">
        <x:v>In-Hand Learning / Sim-to-Real</x:v>
      </x:c>
      <x:c r="J51" t="str">
        <x:v>Dexterous Manipulation; In-Hand Learning / Sim-to-Real</x:v>
      </x:c>
      <x:c r="K51" t="e">
        <x:f>HYPERLINK("https://www.frontiersin.org/journals/robotics-and-ai/articles/10.3389/frobt.2024.1455431/full","论文")</x:f>
        <x:v>HYPERLINK is not implemented. linkLocation=https://www.frontiersin.org/journals/robotics-and-ai/articles/10.3389/frobt.2024.1455431/full, friendlyName=论文</x:v>
      </x:c>
      <x:c r="L51"/>
      <x:c r="M51"/>
      <x:c r="N51"/>
      <x:c r="O51" t="str">
        <x:v>Unknown</x:v>
      </x:c>
      <x:c r="P51" t="str">
        <x:v>Not applicable</x:v>
      </x:c>
      <x:c r="Q51"/>
      <x:c r="R51" t="str">
        <x:v>Unknown</x:v>
      </x:c>
      <x:c r="S51" t="str">
        <x:v>General</x:v>
      </x:c>
      <x:c r="T51" t="str">
        <x:v>Publisher pages</x:v>
      </x:c>
      <x:c r="U51" t="str">
        <x:v>P1</x:v>
      </x:c>
      <x:c r="V51" t="str">
        <x:v>Frontiers publisher review.</x:v>
      </x:c>
      <x:c r="W51" t="str">
        <x:v>Official Verified</x:v>
      </x:c>
      <x:c r="X51" t="str">
        <x:v>2026-09-18</x:v>
      </x:c>
      <x:c r="Y51" t="str">
        <x:v>Survey / Review</x:v>
      </x:c>
      <x:c r="Z51" t="str">
        <x:v>02_Papers/09_Survey_Review/Survey_of_Learning-Based_Approaches_for_Robotic_In-Hand_Manipulation.md</x:v>
      </x:c>
      <x:c r="AA51" t="n">
        <x:v>0</x:v>
      </x:c>
      <x:c r="AB51" t="str">
        <x:v>OpenAlex</x:v>
      </x:c>
      <x:c r="AC51" t="str">
        <x:v>2026-09-25</x:v>
      </x:c>
      <x:c r="AD51" t="str">
        <x:v>机器人如何像人手一样在掌内精准移动物体。</x:v>
      </x:c>
      <x:c r="AE51" t="str">
        <x:v>Unknown / Needs Full-Paper Verification</x:v>
      </x:c>
      <x:c r="AF51" t="str">
        <x:v>Unknown / Needs Full-Paper Verification</x:v>
      </x:c>
      <x:c r="AG51" t="str">
        <x:v>已核验摘要未明确说明；需查阅论文方法与实验章节。</x:v>
      </x:c>
      <x:c r="AH51" t="str">
        <x:v>Unknown / Needs Full-Paper Verification</x:v>
      </x:c>
      <x:c r="AI51" t="str">
        <x:v>Unknown / Needs Full-Paper Verification</x:v>
      </x:c>
      <x:c r="AJ51" t="str">
        <x:v>Unknown / Needs Full-Paper Verification</x:v>
      </x:c>
      <x:c r="AK51" t="str">
        <x:v>综述不提供统一实验成功率；比较需回各原始论文。</x:v>
      </x:c>
      <x:c r="AL51" t="str">
        <x:v>Unknown / Needs Full-Paper Verification</x:v>
      </x:c>
      <x:c r="AM51" t="str">
        <x:v>Library Analysis / Research Note: Unknown / Needs Full-Paper Verification</x:v>
      </x:c>
      <x:c r="AN51" t="str">
        <x:v>Unknown / Needs Project-Specific Review</x:v>
      </x:c>
      <x:c r="AO51" t="str">
        <x:v>Unknown</x:v>
      </x:c>
      <x:c r="AP51" t="str">
        <x:v>B</x:v>
      </x:c>
      <x:c r="AQ51"/>
      <x:c r="AR51" t="str">
        <x:v>Unknown / Not Explicitly Reported in the currently accessible sources.</x:v>
      </x:c>
      <x:c r="AS51" t="str">
        <x:v>Unknown / Not Explicitly Reported in the currently accessible sources.</x:v>
      </x:c>
      <x:c r="AT51" t="str">
        <x:v>https://openalex.org/W4390962508</x:v>
      </x:c>
      <x:c r="AU51" t="str">
        <x:v>Unknown</x:v>
      </x:c>
      <x:c r="AV51" t="str">
        <x:v>B-Fulltext-Unavailable</x:v>
      </x:c>
      <x:c r="AW51" t="str">
        <x:v>Not Found</x:v>
      </x:c>
      <x:c r="AX51" t="str">
        <x:v>Unknown</x:v>
      </x:c>
      <x:c r="AY51" t="str">
        <x:v>Unknown</x:v>
      </x:c>
      <x:c r="AZ51" t="str">
        <x:v>https://arxiv.org/pdf/2401.07915</x:v>
      </x:c>
      <x:c r="BA51" t="str">
        <x:v>No</x:v>
      </x:c>
      <x:c r="BB51" t="str">
        <x:v>No</x:v>
      </x:c>
      <x:c r="BC51" t="str">
        <x:v>No</x:v>
      </x:c>
      <x:c r="BD51" t="str">
        <x:v>No</x:v>
      </x:c>
      <x:c r="BE51" t="str">
        <x:v>No</x:v>
      </x:c>
      <x:c r="BF51" t="str">
        <x:v>No</x:v>
      </x:c>
      <x:c r="BG51" t="str">
        <x:v>No</x:v>
      </x:c>
      <x:c r="BH51" t="str">
        <x:v>Matched</x:v>
      </x:c>
      <x:c r="BI51" t="str">
        <x:v>Not Found After Verification</x:v>
      </x:c>
      <x:c r="BJ51" t="str">
        <x:v>Not Found After Verification</x:v>
      </x:c>
      <x:c r="BK51" t="str">
        <x:v>Audit logged - deep extraction pending</x:v>
      </x:c>
      <x:c r="BL51" t="str">
        <x:v>false</x:v>
      </x:c>
      <x:c r="BM51"/>
      <x:c r="BN51" t="str">
        <x:v>研究问题：机器人如何像人手一样在掌内精准移动物体。；之前方法的问题：抓取成功不代表能完成掌内旋转和重定位。；核心思路：综述学习式 in-hand manipulation 的状态、动作、训练与评测方法。；主要结果：综述不提供统一实验成功率；比较需回各原始论文。；为什么重要：说明普通夹爪与灵巧手任务边界。；与当前项目的关系：Low：本项目当前不是掌内多指操作。；主要局限：不同硬件的结果不宜直接比较。</x:v>
      </x:c>
      <x:c r="BO51" t="str">
        <x:v>抓取成功不代表能完成掌内旋转和重定位。</x:v>
      </x:c>
      <x:c r="BP51" t="str">
        <x:v>综述学习式 in-hand manipulation 的状态、动作、训练与评测方法。</x:v>
      </x:c>
      <x:c r="BQ51"/>
      <x:c r="BR51" t="str">
        <x:v>综述不提供统一实验成功率；比较需回各原始论文。</x:v>
      </x:c>
      <x:c r="BS51" t="str">
        <x:v>说明普通夹爪与灵巧手任务边界。</x:v>
      </x:c>
      <x:c r="BT51" t="str">
        <x:v>不同硬件的结果不宜直接比较。</x:v>
      </x:c>
      <x:c r="BU51"/>
      <x:c r="BV51" t="str">
        <x:v>Low：本项目当前不是掌内多指操作。</x:v>
      </x:c>
      <x:c r="BW51" t="str">
        <x:v>官方摘要/论文页; https://www.frontiersin.org/journals/robotics-and-ai/articles/10.3389/frobt.2024.1455431/full; 核验于 2026-09-23. 仅为摘要级速读；原 Evidence Quality 不变。 - 核验层级：摘要有可追溯来源</x:v>
      </x:c>
      <x:c r="BX51" t="str">
        <x:v>arxiv-source-exact</x:v>
      </x:c>
      <x:c r="BY51" t="n">
        <x:v>0</x:v>
      </x:c>
      <x:c r="BZ51" t="n">
        <x:v>4</x:v>
      </x:c>
    </x:row>
    <x:row r="52" ht="58" customHeight="1">
      <x:c r="A52" t="str">
        <x:v>D051</x:v>
      </x:c>
      <x:c r="B52" t="str">
        <x:v>Dexterous Hand towards Intelligent Manufacturing: A Review of Technologies, Trends, and Potential Applications</x:v>
      </x:c>
      <x:c r="C52" t="n">
        <x:v>2025</x:v>
      </x:c>
      <x:c r="D52" t="str">
        <x:v>Survey / Review</x:v>
      </x:c>
      <x:c r="E52" t="str">
        <x:v>Survey / journal</x:v>
      </x:c>
      <x:c r="F52" t="str">
        <x:v>Journal review</x:v>
      </x:c>
      <x:c r="G52" t="str">
        <x:v>Not Applicable (not CCF conference)</x:v>
      </x:c>
      <x:c r="H52" t="str">
        <x:v>Dexterous Hand / Dexterous Manipulation; Survey / Review</x:v>
      </x:c>
      <x:c r="I52" t="str">
        <x:v>Manufacturing / Hand Technology</x:v>
      </x:c>
      <x:c r="J52" t="str">
        <x:v>Dexterous Hand; Manufacturing / Hand Technology</x:v>
      </x:c>
      <x:c r="K52" t="e">
        <x:f>HYPERLINK("https://www.sciencedirect.com/science/article/pii/S0736584525000754","论文")</x:f>
        <x:v>HYPERLINK is not implemented. linkLocation=https://www.sciencedirect.com/science/article/pii/S0736584525000754, friendlyName=论文</x:v>
      </x:c>
      <x:c r="L52"/>
      <x:c r="M52"/>
      <x:c r="N52"/>
      <x:c r="O52" t="str">
        <x:v>Unknown</x:v>
      </x:c>
      <x:c r="P52" t="str">
        <x:v>Not applicable</x:v>
      </x:c>
      <x:c r="Q52"/>
      <x:c r="R52" t="str">
        <x:v>Unknown</x:v>
      </x:c>
      <x:c r="S52" t="str">
        <x:v>General</x:v>
      </x:c>
      <x:c r="T52" t="str">
        <x:v>Publisher pages</x:v>
      </x:c>
      <x:c r="U52" t="str">
        <x:v>P1</x:v>
      </x:c>
      <x:c r="V52" t="str">
        <x:v>RCIM 2025 publisher review.</x:v>
      </x:c>
      <x:c r="W52" t="str">
        <x:v>Official Verified</x:v>
      </x:c>
      <x:c r="X52" t="str">
        <x:v>2026-09-18</x:v>
      </x:c>
      <x:c r="Y52" t="str">
        <x:v>Survey / Review</x:v>
      </x:c>
      <x:c r="Z52" t="str">
        <x:v>02_Papers/09_Survey_Review/Dexterous_Hand_towards_Intelligent_Manufacturing_A_Review_of_Technologies,_Trends,_and_Pot.md</x:v>
      </x:c>
      <x:c r="AA52" t="str">
        <x:v>—</x:v>
      </x:c>
      <x:c r="AB52" t="str">
        <x:v>未可靠匹配</x:v>
      </x:c>
      <x:c r="AC52" t="str">
        <x:v>2026-09-25</x:v>
      </x:c>
      <x:c r="AD52" t="str">
        <x:v>灵巧手在智能制造中的能力边界与系统需求尚需梳理。</x:v>
      </x:c>
      <x:c r="AE52" t="str">
        <x:v>Unknown / Needs Full-Paper Verification</x:v>
      </x:c>
      <x:c r="AF52" t="str">
        <x:v>Unknown / Needs Full-Paper Verification</x:v>
      </x:c>
      <x:c r="AG52" t="str">
        <x:v>已核验摘要未明确说明；需查阅论文方法与实验章节。</x:v>
      </x:c>
      <x:c r="AH52" t="str">
        <x:v>Unknown / Needs Full-Paper Verification</x:v>
      </x:c>
      <x:c r="AI52" t="str">
        <x:v>Unknown / Needs Full-Paper Verification</x:v>
      </x:c>
      <x:c r="AJ52" t="str">
        <x:v>Unknown / Needs Full-Paper Verification</x:v>
      </x:c>
      <x:c r="AK52" t="str">
        <x:v>综述性质，未记录统一机器人成功率。</x:v>
      </x:c>
      <x:c r="AL52" t="str">
        <x:v>Unknown / Needs Full-Paper Verification</x:v>
      </x:c>
      <x:c r="AM52" t="str">
        <x:v>Library Analysis / Research Note: Unknown / Needs Full-Paper Verification</x:v>
      </x:c>
      <x:c r="AN52" t="str">
        <x:v>Unknown / Needs Project-Specific Review</x:v>
      </x:c>
      <x:c r="AO52" t="str">
        <x:v>Unknown</x:v>
      </x:c>
      <x:c r="AP52" t="str">
        <x:v>B</x:v>
      </x:c>
      <x:c r="AQ52"/>
      <x:c r="AR52" t="str">
        <x:v>Unknown / Not Explicitly Reported in the currently accessible sources.</x:v>
      </x:c>
      <x:c r="AS52" t="str">
        <x:v>Unknown / Not Explicitly Reported in the currently accessible sources.</x:v>
      </x:c>
      <x:c r="AT52" t="str">
        <x:v>—</x:v>
      </x:c>
      <x:c r="AU52" t="str">
        <x:v>Unknown</x:v>
      </x:c>
      <x:c r="AV52" t="str">
        <x:v>B-Fulltext-Unavailable</x:v>
      </x:c>
      <x:c r="AW52" t="str">
        <x:v>Not Found</x:v>
      </x:c>
      <x:c r="AX52" t="str">
        <x:v>Unknown</x:v>
      </x:c>
      <x:c r="AY52" t="str">
        <x:v>Unknown</x:v>
      </x:c>
      <x:c r="AZ52"/>
      <x:c r="BA52" t="str">
        <x:v>No</x:v>
      </x:c>
      <x:c r="BB52" t="str">
        <x:v>No</x:v>
      </x:c>
      <x:c r="BC52" t="str">
        <x:v>No</x:v>
      </x:c>
      <x:c r="BD52" t="str">
        <x:v>No</x:v>
      </x:c>
      <x:c r="BE52" t="str">
        <x:v>No</x:v>
      </x:c>
      <x:c r="BF52" t="str">
        <x:v>No</x:v>
      </x:c>
      <x:c r="BG52" t="str">
        <x:v>No</x:v>
      </x:c>
      <x:c r="BH52" t="str">
        <x:v>Unresolved</x:v>
      </x:c>
      <x:c r="BI52" t="str">
        <x:v>Not Found After Verification</x:v>
      </x:c>
      <x:c r="BJ52" t="str">
        <x:v>Not Found After Verification</x:v>
      </x:c>
      <x:c r="BK52" t="str">
        <x:v>Audit logged - deep extraction pending</x:v>
      </x:c>
      <x:c r="BL52" t="str">
        <x:v>false</x:v>
      </x:c>
      <x:c r="BM52"/>
      <x:c r="BN52" t="str">
        <x:v>研究问题：灵巧手在智能制造中的能力边界与系统需求尚需梳理。；之前方法的问题：硬件、控制和应用研究分散，难直接判断何时需要多指手。；核心思路：总结灵巧手技术、趋势和制造场景应用。；主要结果：综述性质，未记录统一机器人成功率。；为什么重要：帮助区分普通夹爪和灵巧手各自适合的任务。；与当前项目的关系：Low：本项目当前采用普通夹爪，仅作硬件路线比较。；主要局限：制造任务综述不能直接指导本项目双臂策略的量化性能。</x:v>
      </x:c>
      <x:c r="BO52" t="str">
        <x:v>硬件、控制和应用研究分散，难直接判断何时需要多指手。</x:v>
      </x:c>
      <x:c r="BP52" t="str">
        <x:v>总结灵巧手技术、趋势和制造场景应用。</x:v>
      </x:c>
      <x:c r="BQ52"/>
      <x:c r="BR52" t="str">
        <x:v>综述性质，未记录统一机器人成功率。</x:v>
      </x:c>
      <x:c r="BS52" t="str">
        <x:v>帮助区分普通夹爪和灵巧手各自适合的任务。</x:v>
      </x:c>
      <x:c r="BT52" t="str">
        <x:v>制造任务综述不能直接指导本项目双臂策略的量化性能。</x:v>
      </x:c>
      <x:c r="BU52"/>
      <x:c r="BV52" t="str">
        <x:v>Low：本项目当前采用普通夹爪，仅作硬件路线比较。</x:v>
      </x:c>
      <x:c r="BW52" t="str">
        <x:v>OpenAlex 索引摘要; https://api.openalex.org/works/W4409168415; 核验于 2026-09-23. 仅为摘要级速读；原 Evidence Quality 不变。 - 核验层级：摘要有可追溯来源</x:v>
      </x:c>
      <x:c r="BX52" t="str">
        <x:v>Unresolved; no reliable citation service count</x:v>
      </x:c>
      <x:c r="BY52" t="n">
        <x:v>1</x:v>
      </x:c>
      <x:c r="BZ52" t="n">
        <x:v>0</x:v>
      </x:c>
    </x:row>
    <x:row r="53" ht="58" customHeight="1">
      <x:c r="A53" t="str">
        <x:v>D052</x:v>
      </x:c>
      <x:c r="B53" t="str">
        <x:v>A Survey of Embodied Learning for Object-Centric Robotic Manipulation</x:v>
      </x:c>
      <x:c r="C53" t="n">
        <x:v>2025</x:v>
      </x:c>
      <x:c r="D53" t="str">
        <x:v>Survey / Review</x:v>
      </x:c>
      <x:c r="E53" t="str">
        <x:v>Survey / journal</x:v>
      </x:c>
      <x:c r="F53" t="str">
        <x:v>Journal review</x:v>
      </x:c>
      <x:c r="G53" t="str">
        <x:v>Not Applicable (not CCF conference)</x:v>
      </x:c>
      <x:c r="H53" t="str">
        <x:v>Robot Manipulation / IL / Diffusion; Survey / Review</x:v>
      </x:c>
      <x:c r="I53" t="str">
        <x:v>Object-Centric Embodied Learning</x:v>
      </x:c>
      <x:c r="J53" t="str">
        <x:v>Robot Manipulation; Object-Centric Embodied Learning</x:v>
      </x:c>
      <x:c r="K53" t="e">
        <x:f>HYPERLINK("https://link.springer.com/article/10.1007/s11633-025-1542-8","论文")</x:f>
        <x:v>HYPERLINK is not implemented. linkLocation=https://link.springer.com/article/10.1007/s11633-025-1542-8, friendlyName=论文</x:v>
      </x:c>
      <x:c r="L53"/>
      <x:c r="M53"/>
      <x:c r="N53"/>
      <x:c r="O53" t="str">
        <x:v>Unknown</x:v>
      </x:c>
      <x:c r="P53" t="str">
        <x:v>Not applicable</x:v>
      </x:c>
      <x:c r="Q53"/>
      <x:c r="R53" t="str">
        <x:v>Unknown</x:v>
      </x:c>
      <x:c r="S53" t="str">
        <x:v>General</x:v>
      </x:c>
      <x:c r="T53" t="str">
        <x:v>Publisher pages</x:v>
      </x:c>
      <x:c r="U53" t="str">
        <x:v>P1</x:v>
      </x:c>
      <x:c r="V53" t="str">
        <x:v>Springer review on perception, policy learning and task learning.</x:v>
      </x:c>
      <x:c r="W53" t="str">
        <x:v>Official Verified</x:v>
      </x:c>
      <x:c r="X53" t="str">
        <x:v>2026-09-18</x:v>
      </x:c>
      <x:c r="Y53" t="str">
        <x:v>Survey / Review</x:v>
      </x:c>
      <x:c r="Z53" t="str">
        <x:v>02_Papers/09_Survey_Review/A_Survey_of_Embodied_Learning_for_Object-Centric_Robotic_Manipulation.md</x:v>
      </x:c>
      <x:c r="AA53" t="n">
        <x:v>20</x:v>
      </x:c>
      <x:c r="AB53" t="str">
        <x:v>Crossref</x:v>
      </x:c>
      <x:c r="AC53" t="str">
        <x:v>2026-09-25</x:v>
      </x:c>
      <x:c r="AD53" t="str">
        <x:v>以物体为中心的机器人操作涉及感知、交互和策略学习多个环节。</x:v>
      </x:c>
      <x:c r="AE53" t="str">
        <x:v>Unknown / Needs Full-Paper Verification</x:v>
      </x:c>
      <x:c r="AF53" t="str">
        <x:v>Unknown / Needs Full-Paper Verification</x:v>
      </x:c>
      <x:c r="AG53" t="str">
        <x:v>已核验摘要未明确说明；需查阅论文方法与实验章节。</x:v>
      </x:c>
      <x:c r="AH53" t="str">
        <x:v>Unknown / Needs Full-Paper Verification</x:v>
      </x:c>
      <x:c r="AI53" t="str">
        <x:v>Unknown / Needs Full-Paper Verification</x:v>
      </x:c>
      <x:c r="AJ53" t="str">
        <x:v>Unknown / Needs Full-Paper Verification</x:v>
      </x:c>
      <x:c r="AK53" t="str">
        <x:v>综述以方法脉络与开放问题为主；无单一成功率可安全复述。</x:v>
      </x:c>
      <x:c r="AL53" t="str">
        <x:v>Unknown / Needs Full-Paper Verification</x:v>
      </x:c>
      <x:c r="AM53" t="str">
        <x:v>Library Analysis / Research Note: Unknown / Needs Full-Paper Verification</x:v>
      </x:c>
      <x:c r="AN53" t="str">
        <x:v>Unknown / Needs Project-Specific Review</x:v>
      </x:c>
      <x:c r="AO53" t="str">
        <x:v>Unknown</x:v>
      </x:c>
      <x:c r="AP53" t="str">
        <x:v>B</x:v>
      </x:c>
      <x:c r="AQ53"/>
      <x:c r="AR53" t="str">
        <x:v>Unknown / Not Explicitly Reported in the currently accessible sources.</x:v>
      </x:c>
      <x:c r="AS53" t="str">
        <x:v>Unknown / Not Explicitly Reported in the currently accessible sources.</x:v>
      </x:c>
      <x:c r="AT53" t="str">
        <x:v>https://api.crossref.org/works/10.1007/s11633-025-1542-8</x:v>
      </x:c>
      <x:c r="AU53" t="str">
        <x:v>Unknown</x:v>
      </x:c>
      <x:c r="AV53" t="str">
        <x:v>B-Fulltext-Unavailable</x:v>
      </x:c>
      <x:c r="AW53" t="str">
        <x:v>Not Found</x:v>
      </x:c>
      <x:c r="AX53" t="str">
        <x:v>Unknown</x:v>
      </x:c>
      <x:c r="AY53" t="str">
        <x:v>Unknown</x:v>
      </x:c>
      <x:c r="AZ53" t="str">
        <x:v>https://link.springer.com/content/pdf/10.1007/s11633-025-1542-8.pdf</x:v>
      </x:c>
      <x:c r="BA53" t="str">
        <x:v>No</x:v>
      </x:c>
      <x:c r="BB53" t="str">
        <x:v>No</x:v>
      </x:c>
      <x:c r="BC53" t="str">
        <x:v>No</x:v>
      </x:c>
      <x:c r="BD53" t="str">
        <x:v>No</x:v>
      </x:c>
      <x:c r="BE53" t="str">
        <x:v>No</x:v>
      </x:c>
      <x:c r="BF53" t="str">
        <x:v>No</x:v>
      </x:c>
      <x:c r="BG53" t="str">
        <x:v>No</x:v>
      </x:c>
      <x:c r="BH53" t="str">
        <x:v>Matched</x:v>
      </x:c>
      <x:c r="BI53" t="str">
        <x:v>Not Found After Verification</x:v>
      </x:c>
      <x:c r="BJ53" t="str">
        <x:v>Not Found After Verification</x:v>
      </x:c>
      <x:c r="BK53" t="str">
        <x:v>Audit logged - deep extraction pending</x:v>
      </x:c>
      <x:c r="BL53" t="str">
        <x:v>false</x:v>
      </x:c>
      <x:c r="BM53"/>
      <x:c r="BN53" t="str">
        <x:v>研究问题：以物体为中心的机器人操作涉及感知、交互和策略学习多个环节。；之前方法的问题：相关研究分布在不同任务与表示方式中，难以直接比较。；核心思路：整理 object-centric embodied learning 的方法和操作任务分类。；主要结果：综述以方法脉络与开放问题为主；无单一成功率可安全复述。；为什么重要：帮助把目标物体状态纳入双臂操作设计。；与当前项目的关系：Medium：物体中心表示可用于普通夹爪协作。；主要局限：综述中的方向仍需按具体论文和真机证据核验。</x:v>
      </x:c>
      <x:c r="BO53" t="str">
        <x:v>相关研究分布在不同任务与表示方式中，难以直接比较。</x:v>
      </x:c>
      <x:c r="BP53" t="str">
        <x:v>整理 object-centric embodied learning 的方法和操作任务分类。</x:v>
      </x:c>
      <x:c r="BQ53"/>
      <x:c r="BR53" t="str">
        <x:v>综述以方法脉络与开放问题为主；无单一成功率可安全复述。</x:v>
      </x:c>
      <x:c r="BS53" t="str">
        <x:v>帮助把目标物体状态纳入双臂操作设计。</x:v>
      </x:c>
      <x:c r="BT53" t="str">
        <x:v>综述中的方向仍需按具体论文和真机证据核验。</x:v>
      </x:c>
      <x:c r="BU53"/>
      <x:c r="BV53" t="str">
        <x:v>Medium：物体中心表示可用于普通夹爪协作。</x:v>
      </x:c>
      <x:c r="BW53" t="str">
        <x:v>官方摘要/论文页; https://link.springer.com/article/10.1007/s11633-025-1542-8; 核验于 2026-09-23. 仅为摘要级速读；原 Evidence Quality 不变。 - 核验层级：摘要有可追溯来源</x:v>
      </x:c>
      <x:c r="BX53" t="str">
        <x:v>crossref-exact-title-pdf-authors</x:v>
      </x:c>
      <x:c r="BY53" t="n">
        <x:v>3</x:v>
      </x:c>
      <x:c r="BZ53" t="n">
        <x:v>2</x:v>
      </x:c>
    </x:row>
    <x:row r="54" ht="58" customHeight="1">
      <x:c r="A54" t="str">
        <x:v>D053</x:v>
      </x:c>
      <x:c r="B54" t="str">
        <x:v>Interactive Imitation Learning for Dexterous Robotic Manipulation: Challenges and Perspectives—a Survey</x:v>
      </x:c>
      <x:c r="C54" t="n">
        <x:v>2025</x:v>
      </x:c>
      <x:c r="D54" t="str">
        <x:v>Survey / Review</x:v>
      </x:c>
      <x:c r="E54" t="str">
        <x:v>Survey / journal</x:v>
      </x:c>
      <x:c r="F54" t="str">
        <x:v>Journal review</x:v>
      </x:c>
      <x:c r="G54" t="str">
        <x:v>Not Applicable (not CCF conference)</x:v>
      </x:c>
      <x:c r="H54" t="str">
        <x:v>Robot Manipulation / IL / Diffusion; Dexterous Hand / Dexterous Manipulation; Survey / Review</x:v>
      </x:c>
      <x:c r="I54" t="str">
        <x:v>Interactive Imitation Learning</x:v>
      </x:c>
      <x:c r="J54" t="str">
        <x:v>Dexterous Manipulation; Interactive Imitation Learning</x:v>
      </x:c>
      <x:c r="K54" t="e">
        <x:f>HYPERLINK("https://www.frontiersin.org/journals/robotics-and-ai/articles/10.3389/frobt.2025.1682437/full","论文")</x:f>
        <x:v>HYPERLINK is not implemented. linkLocation=https://www.frontiersin.org/journals/robotics-and-ai/articles/10.3389/frobt.2025.1682437/full, friendlyName=论文</x:v>
      </x:c>
      <x:c r="L54"/>
      <x:c r="M54"/>
      <x:c r="N54"/>
      <x:c r="O54" t="str">
        <x:v>Unknown</x:v>
      </x:c>
      <x:c r="P54" t="str">
        <x:v>Not applicable</x:v>
      </x:c>
      <x:c r="Q54"/>
      <x:c r="R54" t="str">
        <x:v>Unknown</x:v>
      </x:c>
      <x:c r="S54" t="str">
        <x:v>General</x:v>
      </x:c>
      <x:c r="T54" t="str">
        <x:v>Publisher pages</x:v>
      </x:c>
      <x:c r="U54" t="str">
        <x:v>P1</x:v>
      </x:c>
      <x:c r="V54" t="str">
        <x:v>Frontiers publisher review.</x:v>
      </x:c>
      <x:c r="W54" t="str">
        <x:v>Official Verified</x:v>
      </x:c>
      <x:c r="X54" t="str">
        <x:v>2026-09-18</x:v>
      </x:c>
      <x:c r="Y54" t="str">
        <x:v>Survey / Review</x:v>
      </x:c>
      <x:c r="Z54" t="str">
        <x:v>02_Papers/09_Survey_Review/Interactive_Imitation_Learning_for_Dexterous_Robotic_Manipulation_Challenges_and_Perspecti.md</x:v>
      </x:c>
      <x:c r="AA54" t="n">
        <x:v>0</x:v>
      </x:c>
      <x:c r="AB54" t="str">
        <x:v>OpenAlex</x:v>
      </x:c>
      <x:c r="AC54" t="str">
        <x:v>2026-09-25</x:v>
      </x:c>
      <x:c r="AD54" t="str">
        <x:v>灵巧操作需要精确接触，静态示范数据往往不够。</x:v>
      </x:c>
      <x:c r="AE54" t="str">
        <x:v>Unknown / Needs Full-Paper Verification</x:v>
      </x:c>
      <x:c r="AF54" t="str">
        <x:v>Unknown / Needs Full-Paper Verification</x:v>
      </x:c>
      <x:c r="AG54" t="str">
        <x:v>已核验摘要未明确说明；需查阅论文方法与实验章节。</x:v>
      </x:c>
      <x:c r="AH54" t="str">
        <x:v>Unknown / Needs Full-Paper Verification</x:v>
      </x:c>
      <x:c r="AI54" t="str">
        <x:v>Unknown / Needs Full-Paper Verification</x:v>
      </x:c>
      <x:c r="AJ54" t="str">
        <x:v>Unknown / Needs Full-Paper Verification</x:v>
      </x:c>
      <x:c r="AK54" t="str">
        <x:v>该文以问题和研究展望为主，不提供统一成功率。</x:v>
      </x:c>
      <x:c r="AL54" t="str">
        <x:v>Unknown / Needs Full-Paper Verification</x:v>
      </x:c>
      <x:c r="AM54" t="str">
        <x:v>Library Analysis / Research Note: Unknown / Needs Full-Paper Verification</x:v>
      </x:c>
      <x:c r="AN54" t="str">
        <x:v>Unknown / Needs Project-Specific Review</x:v>
      </x:c>
      <x:c r="AO54" t="str">
        <x:v>Unknown</x:v>
      </x:c>
      <x:c r="AP54" t="str">
        <x:v>B</x:v>
      </x:c>
      <x:c r="AQ54"/>
      <x:c r="AR54" t="str">
        <x:v>Unknown / Not Explicitly Reported in the currently accessible sources.</x:v>
      </x:c>
      <x:c r="AS54" t="str">
        <x:v>Unknown / Not Explicitly Reported in the currently accessible sources.</x:v>
      </x:c>
      <x:c r="AT54" t="str">
        <x:v>https://openalex.org/W4414888151</x:v>
      </x:c>
      <x:c r="AU54" t="str">
        <x:v>Unknown</x:v>
      </x:c>
      <x:c r="AV54" t="str">
        <x:v>B-Fulltext-Unavailable</x:v>
      </x:c>
      <x:c r="AW54" t="str">
        <x:v>Not Found</x:v>
      </x:c>
      <x:c r="AX54" t="str">
        <x:v>Unknown</x:v>
      </x:c>
      <x:c r="AY54" t="str">
        <x:v>Unknown</x:v>
      </x:c>
      <x:c r="AZ54" t="str">
        <x:v>https://arxiv.org/pdf/2506.00098</x:v>
      </x:c>
      <x:c r="BA54" t="str">
        <x:v>No</x:v>
      </x:c>
      <x:c r="BB54" t="str">
        <x:v>No</x:v>
      </x:c>
      <x:c r="BC54" t="str">
        <x:v>No</x:v>
      </x:c>
      <x:c r="BD54" t="str">
        <x:v>No</x:v>
      </x:c>
      <x:c r="BE54" t="str">
        <x:v>No</x:v>
      </x:c>
      <x:c r="BF54" t="str">
        <x:v>No</x:v>
      </x:c>
      <x:c r="BG54" t="str">
        <x:v>No</x:v>
      </x:c>
      <x:c r="BH54" t="str">
        <x:v>Matched</x:v>
      </x:c>
      <x:c r="BI54" t="str">
        <x:v>Not Found After Verification</x:v>
      </x:c>
      <x:c r="BJ54" t="str">
        <x:v>Not Found After Verification</x:v>
      </x:c>
      <x:c r="BK54" t="str">
        <x:v>Audit logged - deep extraction pending</x:v>
      </x:c>
      <x:c r="BL54" t="str">
        <x:v>false</x:v>
      </x:c>
      <x:c r="BM54"/>
      <x:c r="BN54" t="str">
        <x:v>研究问题：灵巧操作需要精确接触，静态示范数据往往不够。；之前方法的问题：策略部署后的人机交互和在线纠错机制尚需系统化。；核心思路：梳理 interactive imitation learning 在灵巧操作中的反馈、修正与挑战。；主要结果：该文以问题和研究展望为主，不提供统一成功率。；为什么重要：失败后的人类反馈可能帮助双臂真机安全学习。；与当前项目的关系：Medium：纠错机制可借鉴，手型硬件不同。；主要局限：观点性综述需用可控实验验证。</x:v>
      </x:c>
      <x:c r="BO54" t="str">
        <x:v>策略部署后的人机交互和在线纠错机制尚需系统化。</x:v>
      </x:c>
      <x:c r="BP54" t="str">
        <x:v>梳理 interactive imitation learning 在灵巧操作中的反馈、修正与挑战。</x:v>
      </x:c>
      <x:c r="BQ54"/>
      <x:c r="BR54" t="str">
        <x:v>该文以问题和研究展望为主，不提供统一成功率。</x:v>
      </x:c>
      <x:c r="BS54" t="str">
        <x:v>失败后的人类反馈可能帮助双臂真机安全学习。</x:v>
      </x:c>
      <x:c r="BT54" t="str">
        <x:v>观点性综述需用可控实验验证。</x:v>
      </x:c>
      <x:c r="BU54"/>
      <x:c r="BV54" t="str">
        <x:v>Medium：纠错机制可借鉴，手型硬件不同。</x:v>
      </x:c>
      <x:c r="BW54" t="str">
        <x:v>官方摘要/论文页; https://www.frontiersin.org/journals/robotics-and-ai/articles/10.3389/frobt.2025.1682437/full; 核验于 2026-09-23. 仅为摘要级速读；原 Evidence Quality 不变。 - 核验层级：摘要有可追溯来源</x:v>
      </x:c>
      <x:c r="BX54" t="str">
        <x:v>arxiv-source-exact</x:v>
      </x:c>
      <x:c r="BY54" t="n">
        <x:v>2</x:v>
      </x:c>
      <x:c r="BZ54" t="n">
        <x:v>1</x:v>
      </x:c>
    </x:row>
    <x:row r="55" ht="58" customHeight="1">
      <x:c r="A55" t="str">
        <x:v>D054</x:v>
      </x:c>
      <x:c r="B55" t="str">
        <x:v>A Survey of Robot Learning for Bimanual Manipulation</x:v>
      </x:c>
      <x:c r="C55" t="n">
        <x:v>2026</x:v>
      </x:c>
      <x:c r="D55" t="str">
        <x:v>Survey / Review</x:v>
      </x:c>
      <x:c r="E55" t="str">
        <x:v>Survey / community</x:v>
      </x:c>
      <x:c r="F55" t="str">
        <x:v>Community-maintained survey; not formal proceedings</x:v>
      </x:c>
      <x:c r="G55" t="str">
        <x:v>Not Applicable</x:v>
      </x:c>
      <x:c r="H55" t="str">
        <x:v>Robot Manipulation / IL / Diffusion; Bimanual; Survey / Review</x:v>
      </x:c>
      <x:c r="I55" t="str">
        <x:v>Taxonomy / Living Field Map</x:v>
      </x:c>
      <x:c r="J55" t="str">
        <x:v>Bimanual Manipulation; Taxonomy / Living Field Map</x:v>
      </x:c>
      <x:c r="K55" t="e">
        <x:f>HYPERLINK("https://github.com/Destiny000621/awesome-bimanual-robot-learning/blob/main/SURVEY.md","论文")</x:f>
        <x:v>HYPERLINK is not implemented. linkLocation=https://github.com/Destiny000621/awesome-bimanual-robot-learning/blob/main/SURVEY.md, friendlyName=论文</x:v>
      </x:c>
      <x:c r="L55"/>
      <x:c r="M55"/>
      <x:c r="N55"/>
      <x:c r="O55" t="str">
        <x:v>Unknown</x:v>
      </x:c>
      <x:c r="P55" t="str">
        <x:v>Not applicable</x:v>
      </x:c>
      <x:c r="Q55"/>
      <x:c r="R55" t="str">
        <x:v>Unknown</x:v>
      </x:c>
      <x:c r="S55" t="str">
        <x:v>General</x:v>
      </x:c>
      <x:c r="T55" t="str">
        <x:v>Community survey index</x:v>
      </x:c>
      <x:c r="U55" t="str">
        <x:v>P1</x:v>
      </x:c>
      <x:c r="V55" t="str">
        <x:v>Community living field map, not peer-reviewed publication.</x:v>
      </x:c>
      <x:c r="W55" t="str">
        <x:v>Cross-Verified</x:v>
      </x:c>
      <x:c r="X55" t="str">
        <x:v>2026-09-18</x:v>
      </x:c>
      <x:c r="Y55" t="str">
        <x:v>Survey / Review</x:v>
      </x:c>
      <x:c r="Z55" t="str">
        <x:v>02_Papers/09_Survey_Review/A_Survey_of_Robot_Learning_for_Bimanual_Manipulation.md</x:v>
      </x:c>
      <x:c r="AA55" t="str">
        <x:v>—</x:v>
      </x:c>
      <x:c r="AB55" t="str">
        <x:v>未可靠匹配</x:v>
      </x:c>
      <x:c r="AC55" t="str">
        <x:v>2026-09-25</x:v>
      </x:c>
      <x:c r="AD55" t="str">
        <x:v>该条记录题名涉及双臂机器人学习综述，但正式来源尚未可靠核实。</x:v>
      </x:c>
      <x:c r="AE55" t="str">
        <x:v>Unknown / Needs Full-Paper Verification</x:v>
      </x:c>
      <x:c r="AF55" t="str">
        <x:v>Unknown / Needs Full-Paper Verification</x:v>
      </x:c>
      <x:c r="AG55" t="str">
        <x:v>已核验摘要未明确说明；需查阅论文方法与实验章节。</x:v>
      </x:c>
      <x:c r="AH55" t="str">
        <x:v>Unknown / Needs Full-Paper Verification</x:v>
      </x:c>
      <x:c r="AI55" t="str">
        <x:v>Unknown / Needs Full-Paper Verification</x:v>
      </x:c>
      <x:c r="AJ55" t="str">
        <x:v>Unknown / Needs Full-Paper Verification</x:v>
      </x:c>
      <x:c r="AK55" t="str">
        <x:v>无可核验的正式摘要或量化结果。</x:v>
      </x:c>
      <x:c r="AL55" t="str">
        <x:v>Unknown / Needs Full-Paper Verification</x:v>
      </x:c>
      <x:c r="AM55" t="str">
        <x:v>Library Analysis / Research Note: Unknown / Needs Full-Paper Verification</x:v>
      </x:c>
      <x:c r="AN55" t="str">
        <x:v>Unknown / Needs Project-Specific Review</x:v>
      </x:c>
      <x:c r="AO55" t="str">
        <x:v>Unknown</x:v>
      </x:c>
      <x:c r="AP55" t="str">
        <x:v>B</x:v>
      </x:c>
      <x:c r="AQ55"/>
      <x:c r="AR55" t="str">
        <x:v>Unknown / Not Explicitly Reported in the currently accessible sources.</x:v>
      </x:c>
      <x:c r="AS55" t="str">
        <x:v>Unknown / Not Explicitly Reported in the currently accessible sources.</x:v>
      </x:c>
      <x:c r="AT55" t="str">
        <x:v>—</x:v>
      </x:c>
      <x:c r="AU55" t="str">
        <x:v>Unknown</x:v>
      </x:c>
      <x:c r="AV55" t="str">
        <x:v>B-Fulltext-Unavailable</x:v>
      </x:c>
      <x:c r="AW55" t="str">
        <x:v>Not Found</x:v>
      </x:c>
      <x:c r="AX55" t="str">
        <x:v>Unknown</x:v>
      </x:c>
      <x:c r="AY55" t="str">
        <x:v>Unknown</x:v>
      </x:c>
      <x:c r="AZ55"/>
      <x:c r="BA55" t="str">
        <x:v>No</x:v>
      </x:c>
      <x:c r="BB55" t="str">
        <x:v>No</x:v>
      </x:c>
      <x:c r="BC55" t="str">
        <x:v>No</x:v>
      </x:c>
      <x:c r="BD55" t="str">
        <x:v>No</x:v>
      </x:c>
      <x:c r="BE55" t="str">
        <x:v>No</x:v>
      </x:c>
      <x:c r="BF55" t="str">
        <x:v>No</x:v>
      </x:c>
      <x:c r="BG55" t="str">
        <x:v>No</x:v>
      </x:c>
      <x:c r="BH55" t="str">
        <x:v>Unresolved</x:v>
      </x:c>
      <x:c r="BI55" t="str">
        <x:v>Not Found After Verification</x:v>
      </x:c>
      <x:c r="BJ55" t="str">
        <x:v>Not Found After Verification</x:v>
      </x:c>
      <x:c r="BK55" t="str">
        <x:v>Audit logged - deep extraction pending</x:v>
      </x:c>
      <x:c r="BL55" t="str">
        <x:v>false</x:v>
      </x:c>
      <x:c r="BM55"/>
      <x:c r="BN55" t="str">
        <x:v>研究问题：该条记录题名涉及双臂机器人学习综述，但正式来源尚未可靠核实。；之前方法的问题：在来源身份未明确前，不能据题名推断其具体观点。；主要结果：无可核验的正式摘要或量化结果。；为什么重要：避免把题名相似的网页或清单误当正式论文。；与当前项目的关系：High：主题相关，但证据有限，暂不作为研究结论来源。；主要局限：需先确认作者、Venue、官方全文和书目身份。</x:v>
      </x:c>
      <x:c r="BO55" t="str">
        <x:v>在来源身份未明确前，不能据题名推断其具体观点。</x:v>
      </x:c>
      <x:c r="BP55" t="str">
        <x:v>目前仅保留为书目待核验条目；不填写未经证实的方法分类。</x:v>
      </x:c>
      <x:c r="BQ55"/>
      <x:c r="BR55" t="str">
        <x:v>无可核验的正式摘要或量化结果。</x:v>
      </x:c>
      <x:c r="BS55" t="str">
        <x:v>避免把题名相似的网页或清单误当正式论文。</x:v>
      </x:c>
      <x:c r="BT55" t="str">
        <x:v>需先确认作者、Venue、官方全文和书目身份。</x:v>
      </x:c>
      <x:c r="BU55"/>
      <x:c r="BV55" t="str">
        <x:v>High：主题相关，但证据有限，暂不作为研究结论来源。</x:v>
      </x:c>
      <x:c r="BW55" t="str">
        <x:v>Existing canonical card and official-paper metadata; abstract unavailable; https://github.com/Destiny000621/awesome-bimanual-robot-learning/blob/main/SURVEY.md; 核验于 2026-09-23. 仅为摘要级速读；原 Evidence Quality 不变。 - 核验层级：证据有限；不得视为全文核验</x:v>
      </x:c>
      <x:c r="BX55" t="str">
        <x:v>Unresolved; no reliable citation service count</x:v>
      </x:c>
      <x:c r="BY55" t="n">
        <x:v>0</x:v>
      </x:c>
      <x:c r="BZ55" t="n">
        <x:v>0</x:v>
      </x:c>
    </x:row>
    <x:row r="56" ht="58" customHeight="1">
      <x:c r="A56" t="str">
        <x:v>D055</x:v>
      </x:c>
      <x:c r="B56" t="str">
        <x:v>Towards a Unified Understanding of Robot Manipulation: A Comprehensive Survey</x:v>
      </x:c>
      <x:c r="C56" t="n">
        <x:v>2025</x:v>
      </x:c>
      <x:c r="D56" t="str">
        <x:v>Survey / Review</x:v>
      </x:c>
      <x:c r="E56" t="str">
        <x:v>Survey / arXiv</x:v>
      </x:c>
      <x:c r="F56" t="str">
        <x:v>Preprint; formal status not verified</x:v>
      </x:c>
      <x:c r="G56" t="str">
        <x:v>Pending Official Recheck</x:v>
      </x:c>
      <x:c r="H56" t="str">
        <x:v>Robot Manipulation / IL / Diffusion; Survey / Review</x:v>
      </x:c>
      <x:c r="I56" t="str">
        <x:v>Unified Taxonomy / Data / Generalization</x:v>
      </x:c>
      <x:c r="J56" t="str">
        <x:v>Robot Manipulation; Unified Taxonomy / Data / Generalization</x:v>
      </x:c>
      <x:c r="K56" t="e">
        <x:f>HYPERLINK("https://arxiv.org/abs/2510.10903","论文")</x:f>
        <x:v>HYPERLINK is not implemented. linkLocation=https://arxiv.org/abs/2510.10903, friendlyName=论文</x:v>
      </x:c>
      <x:c r="L56"/>
      <x:c r="M56"/>
      <x:c r="N56"/>
      <x:c r="O56" t="str">
        <x:v>Unknown</x:v>
      </x:c>
      <x:c r="P56" t="str">
        <x:v>Not applicable</x:v>
      </x:c>
      <x:c r="Q56"/>
      <x:c r="R56" t="str">
        <x:v>Unknown</x:v>
      </x:c>
      <x:c r="S56" t="str">
        <x:v>General</x:v>
      </x:c>
      <x:c r="T56" t="str">
        <x:v>arXiv</x:v>
      </x:c>
      <x:c r="U56" t="str">
        <x:v>P0</x:v>
      </x:c>
      <x:c r="V56" t="str">
        <x:v>Preprint; formal publication not identified.</x:v>
      </x:c>
      <x:c r="W56" t="str">
        <x:v>Cross-Verified</x:v>
      </x:c>
      <x:c r="X56" t="str">
        <x:v>2026-09-18</x:v>
      </x:c>
      <x:c r="Y56" t="str">
        <x:v>Survey / Review</x:v>
      </x:c>
      <x:c r="Z56" t="str">
        <x:v>02_Papers/09_Survey_Review/Towards_a_Unified_Understanding_of_Robot_Manipulation_A_Comprehensive_Survey.md</x:v>
      </x:c>
      <x:c r="AA56" t="n">
        <x:v>43</x:v>
      </x:c>
      <x:c r="AB56" t="str">
        <x:v>Semantic Scholar</x:v>
      </x:c>
      <x:c r="AC56" t="str">
        <x:v>2026-09-25</x:v>
      </x:c>
      <x:c r="AD56" t="str">
        <x:v>机器人操作研究横跨视觉、规划、控制和数据，术语与评测不统一。</x:v>
      </x:c>
      <x:c r="AE56" t="str">
        <x:v>Unknown / Needs Full-Paper Verification</x:v>
      </x:c>
      <x:c r="AF56" t="str">
        <x:v>Unknown / Needs Full-Paper Verification</x:v>
      </x:c>
      <x:c r="AG56" t="str">
        <x:v>已核验摘要未明确说明；需查阅论文方法与实验章节。</x:v>
      </x:c>
      <x:c r="AH56" t="str">
        <x:v>Unknown / Needs Full-Paper Verification</x:v>
      </x:c>
      <x:c r="AI56" t="str">
        <x:v>Unknown / Needs Full-Paper Verification</x:v>
      </x:c>
      <x:c r="AJ56" t="str">
        <x:v>Unknown / Needs Full-Paper Verification</x:v>
      </x:c>
      <x:c r="AK56" t="str">
        <x:v>主要贡献是统一视角，不以单一任务数值衡量。</x:v>
      </x:c>
      <x:c r="AL56" t="str">
        <x:v>Unknown / Needs Full-Paper Verification</x:v>
      </x:c>
      <x:c r="AM56" t="str">
        <x:v>Library Analysis / Research Note: Unknown / Needs Full-Paper Verification</x:v>
      </x:c>
      <x:c r="AN56" t="str">
        <x:v>Unknown / Needs Project-Specific Review</x:v>
      </x:c>
      <x:c r="AO56" t="str">
        <x:v>Unknown</x:v>
      </x:c>
      <x:c r="AP56" t="str">
        <x:v>B</x:v>
      </x:c>
      <x:c r="AQ56"/>
      <x:c r="AR56" t="str">
        <x:v>Unknown / Not Explicitly Reported in the currently accessible sources.</x:v>
      </x:c>
      <x:c r="AS56" t="str">
        <x:v>Unknown / Not Explicitly Reported in the currently accessible sources.</x:v>
      </x:c>
      <x:c r="AT56" t="str">
        <x:v>https://www.semanticscholar.org/paper/9702a6cce93fbff83dbdad83ae74a3180eb47622</x:v>
      </x:c>
      <x:c r="AU56" t="str">
        <x:v>Unknown</x:v>
      </x:c>
      <x:c r="AV56" t="str">
        <x:v>B-Fulltext-Unavailable</x:v>
      </x:c>
      <x:c r="AW56" t="str">
        <x:v>Not Found</x:v>
      </x:c>
      <x:c r="AX56" t="str">
        <x:v>Unknown</x:v>
      </x:c>
      <x:c r="AY56" t="str">
        <x:v>Unknown</x:v>
      </x:c>
      <x:c r="AZ56" t="str">
        <x:v>https://arxiv.org/pdf/2510.10903</x:v>
      </x:c>
      <x:c r="BA56" t="str">
        <x:v>No</x:v>
      </x:c>
      <x:c r="BB56" t="str">
        <x:v>No</x:v>
      </x:c>
      <x:c r="BC56" t="str">
        <x:v>No</x:v>
      </x:c>
      <x:c r="BD56" t="str">
        <x:v>No</x:v>
      </x:c>
      <x:c r="BE56" t="str">
        <x:v>No</x:v>
      </x:c>
      <x:c r="BF56" t="str">
        <x:v>No</x:v>
      </x:c>
      <x:c r="BG56" t="str">
        <x:v>No</x:v>
      </x:c>
      <x:c r="BH56" t="str">
        <x:v>Matched</x:v>
      </x:c>
      <x:c r="BI56" t="str">
        <x:v>Not Found After Verification</x:v>
      </x:c>
      <x:c r="BJ56" t="str">
        <x:v>Not Found After Verification</x:v>
      </x:c>
      <x:c r="BK56" t="str">
        <x:v>Audit logged - deep extraction pending</x:v>
      </x:c>
      <x:c r="BL56" t="str">
        <x:v>false</x:v>
      </x:c>
      <x:c r="BM56"/>
      <x:c r="BN56" t="str">
        <x:v>研究问题：机器人操作研究横跨视觉、规划、控制和数据，术语与评测不统一。；之前方法的问题：缺少能连接不同方法和任务的整体框架。；核心思路：对机器人操作的任务、技术路线和挑战做综合梳理。；主要结果：主要贡献是统一视角，不以单一任务数值衡量。；为什么重要：便于在文献库中定位 VLA、双臂和 Sim2Real 的关系。；与当前项目的关系：Medium：用于制定阅读顺序与研究问题。；主要局限：具体方法结论必须回原始论文核验。</x:v>
      </x:c>
      <x:c r="BO56" t="str">
        <x:v>缺少能连接不同方法和任务的整体框架。</x:v>
      </x:c>
      <x:c r="BP56" t="str">
        <x:v>对机器人操作的任务、技术路线和挑战做综合梳理。</x:v>
      </x:c>
      <x:c r="BQ56"/>
      <x:c r="BR56" t="str">
        <x:v>主要贡献是统一视角，不以单一任务数值衡量。</x:v>
      </x:c>
      <x:c r="BS56" t="str">
        <x:v>便于在文献库中定位 VLA、双臂和 Sim2Real 的关系。</x:v>
      </x:c>
      <x:c r="BT56" t="str">
        <x:v>具体方法结论必须回原始论文核验。</x:v>
      </x:c>
      <x:c r="BU56"/>
      <x:c r="BV56" t="str">
        <x:v>Medium：用于制定阅读顺序与研究问题。</x:v>
      </x:c>
      <x:c r="BW56" t="str">
        <x:v>官方摘要/论文页; https://arxiv.org/html/2510.10903; 核验于 2026-09-23. 仅为摘要级速读；原 Evidence Quality 不变。 - 核验层级：摘要有可追溯来源</x:v>
      </x:c>
      <x:c r="BX56" t="str">
        <x:v>arxiv</x:v>
      </x:c>
      <x:c r="BY56" t="n">
        <x:v>60</x:v>
      </x:c>
      <x:c r="BZ56" t="n">
        <x:v>0</x:v>
      </x:c>
    </x:row>
    <x:row r="57" ht="58" customHeight="1">
      <x:c r="A57" t="str">
        <x:v>D056</x:v>
      </x:c>
      <x:c r="B57" t="str">
        <x:v>A Survey of Demonstration Learning</x:v>
      </x:c>
      <x:c r="C57" t="n">
        <x:v>2024</x:v>
      </x:c>
      <x:c r="D57" t="str">
        <x:v>Survey / Review</x:v>
      </x:c>
      <x:c r="E57" t="str">
        <x:v>Survey / journal</x:v>
      </x:c>
      <x:c r="F57" t="str">
        <x:v>Journal review</x:v>
      </x:c>
      <x:c r="G57" t="str">
        <x:v>Not Applicable (not CCF conference)</x:v>
      </x:c>
      <x:c r="H57" t="str">
        <x:v>Survey / Review</x:v>
      </x:c>
      <x:c r="I57" t="str">
        <x:v>Learning from Demonstration</x:v>
      </x:c>
      <x:c r="J57" t="str">
        <x:v>Human Demonstration; Learning from Demonstration</x:v>
      </x:c>
      <x:c r="K57" t="e">
        <x:f>HYPERLINK("https://doi.org/10.1016/j.robot.2024.104812","论文")</x:f>
        <x:v>HYPERLINK is not implemented. linkLocation=https://doi.org/10.1016/j.robot.2024.104812, friendlyName=论文</x:v>
      </x:c>
      <x:c r="L57"/>
      <x:c r="M57"/>
      <x:c r="N57"/>
      <x:c r="O57" t="str">
        <x:v>Unknown</x:v>
      </x:c>
      <x:c r="P57" t="str">
        <x:v>Not applicable</x:v>
      </x:c>
      <x:c r="Q57"/>
      <x:c r="R57" t="str">
        <x:v>Unknown</x:v>
      </x:c>
      <x:c r="S57" t="str">
        <x:v>General</x:v>
      </x:c>
      <x:c r="T57" t="str">
        <x:v>Publisher pages</x:v>
      </x:c>
      <x:c r="U57" t="str">
        <x:v>P1</x:v>
      </x:c>
      <x:c r="V57" t="str">
        <x:v>Publisher DOI page.</x:v>
      </x:c>
      <x:c r="W57" t="str">
        <x:v>Official Verified</x:v>
      </x:c>
      <x:c r="X57" t="str">
        <x:v>2026-09-18</x:v>
      </x:c>
      <x:c r="Y57" t="str">
        <x:v>Survey / Review</x:v>
      </x:c>
      <x:c r="Z57" t="str">
        <x:v>02_Papers/09_Survey_Review/A_Survey_of_Demonstration_Learning.md</x:v>
      </x:c>
      <x:c r="AA57" t="n">
        <x:v>32</x:v>
      </x:c>
      <x:c r="AB57" t="str">
        <x:v>OpenAlex</x:v>
      </x:c>
      <x:c r="AC57" t="str">
        <x:v>2026-09-25</x:v>
      </x:c>
      <x:c r="AD57" t="str">
        <x:v>机器人如何从专家示范而非手写奖励中学习技能。</x:v>
      </x:c>
      <x:c r="AE57" t="str">
        <x:v>Unknown / Needs Full-Paper Verification</x:v>
      </x:c>
      <x:c r="AF57" t="str">
        <x:v>Unknown / Needs Full-Paper Verification</x:v>
      </x:c>
      <x:c r="AG57" t="str">
        <x:v>已核验摘要未明确说明；需查阅论文方法与实验章节。</x:v>
      </x:c>
      <x:c r="AH57" t="str">
        <x:v>Unknown / Needs Full-Paper Verification</x:v>
      </x:c>
      <x:c r="AI57" t="str">
        <x:v>Unknown / Needs Full-Paper Verification</x:v>
      </x:c>
      <x:c r="AJ57" t="str">
        <x:v>Unknown / Needs Full-Paper Verification</x:v>
      </x:c>
      <x:c r="AK57" t="str">
        <x:v>综述不以单一任务成功率为主要结果；本轮未提取独立实验数字。</x:v>
      </x:c>
      <x:c r="AL57" t="str">
        <x:v>Unknown / Needs Full-Paper Verification</x:v>
      </x:c>
      <x:c r="AM57" t="str">
        <x:v>Library Analysis / Research Note: Unknown / Needs Full-Paper Verification</x:v>
      </x:c>
      <x:c r="AN57" t="str">
        <x:v>Unknown / Needs Project-Specific Review</x:v>
      </x:c>
      <x:c r="AO57" t="str">
        <x:v>Unknown</x:v>
      </x:c>
      <x:c r="AP57" t="str">
        <x:v>B</x:v>
      </x:c>
      <x:c r="AQ57"/>
      <x:c r="AR57" t="str">
        <x:v>Unknown / Not Explicitly Reported in the currently accessible sources.</x:v>
      </x:c>
      <x:c r="AS57" t="str">
        <x:v>Unknown / Not Explicitly Reported in the currently accessible sources.</x:v>
      </x:c>
      <x:c r="AT57" t="str">
        <x:v>https://openalex.org/W4402510263</x:v>
      </x:c>
      <x:c r="AU57" t="str">
        <x:v>Unknown</x:v>
      </x:c>
      <x:c r="AV57" t="str">
        <x:v>B-Fulltext-Unavailable</x:v>
      </x:c>
      <x:c r="AW57" t="str">
        <x:v>Not Found</x:v>
      </x:c>
      <x:c r="AX57" t="str">
        <x:v>Unknown</x:v>
      </x:c>
      <x:c r="AY57" t="str">
        <x:v>Unknown</x:v>
      </x:c>
      <x:c r="AZ57" t="str">
        <x:v>https://arxiv.org/pdf/2303.11191</x:v>
      </x:c>
      <x:c r="BA57" t="str">
        <x:v>No</x:v>
      </x:c>
      <x:c r="BB57" t="str">
        <x:v>No</x:v>
      </x:c>
      <x:c r="BC57" t="str">
        <x:v>No</x:v>
      </x:c>
      <x:c r="BD57" t="str">
        <x:v>No</x:v>
      </x:c>
      <x:c r="BE57" t="str">
        <x:v>No</x:v>
      </x:c>
      <x:c r="BF57" t="str">
        <x:v>No</x:v>
      </x:c>
      <x:c r="BG57" t="str">
        <x:v>No</x:v>
      </x:c>
      <x:c r="BH57" t="str">
        <x:v>Matched</x:v>
      </x:c>
      <x:c r="BI57" t="str">
        <x:v>Not Found After Verification</x:v>
      </x:c>
      <x:c r="BJ57" t="str">
        <x:v>Not Found After Verification</x:v>
      </x:c>
      <x:c r="BK57" t="str">
        <x:v>Audit logged - deep extraction pending</x:v>
      </x:c>
      <x:c r="BL57" t="str">
        <x:v>false</x:v>
      </x:c>
      <x:c r="BM57"/>
      <x:c r="BN57" t="str">
        <x:v>研究问题：机器人如何从专家示范而非手写奖励中学习技能。；之前方法的问题：示范学习方法多样，训练难度和适用条件分散。；核心思路：梳理 demonstration learning 的主要方法、训练设置与挑战；具体覆盖范围以论文目录为准。；主要结果：综述不以单一任务成功率为主要结果；本轮未提取独立实验数字。；为什么重要：帮助选择双臂示范学习基线。；与当前项目的关系：Medium：方法选择相关，需结合真实硬件实验。；主要局限：综述中的比较不替代统一数据预算下的复现实验。</x:v>
      </x:c>
      <x:c r="BO57" t="str">
        <x:v>示范学习方法多样，训练难度和适用条件分散。</x:v>
      </x:c>
      <x:c r="BP57" t="str">
        <x:v>梳理 demonstration learning 的主要方法、训练设置与挑战；具体覆盖范围以论文目录为准。</x:v>
      </x:c>
      <x:c r="BQ57"/>
      <x:c r="BR57" t="str">
        <x:v>综述不以单一任务成功率为主要结果；本轮未提取独立实验数字。</x:v>
      </x:c>
      <x:c r="BS57" t="str">
        <x:v>帮助选择双臂示范学习基线。</x:v>
      </x:c>
      <x:c r="BT57" t="str">
        <x:v>综述中的比较不替代统一数据预算下的复现实验。</x:v>
      </x:c>
      <x:c r="BU57"/>
      <x:c r="BV57" t="str">
        <x:v>Medium：方法选择相关，需结合真实硬件实验。</x:v>
      </x:c>
      <x:c r="BW57" t="str">
        <x:v>OpenAlex 索引摘要; https://api.openalex.org/works/W4402510263; 核验于 2026-09-23. 仅为摘要级速读；原 Evidence Quality 不变。 - 核验层级：摘要有可追溯来源</x:v>
      </x:c>
      <x:c r="BX57" t="str">
        <x:v>final-doi</x:v>
      </x:c>
      <x:c r="BY57" t="n">
        <x:v>0</x:v>
      </x:c>
      <x:c r="BZ57" t="n">
        <x:v>0</x:v>
      </x:c>
    </x:row>
    <x:row r="58" ht="58" customHeight="1">
      <x:c r="A58" t="str">
        <x:v>D057</x:v>
      </x:c>
      <x:c r="B58" t="str">
        <x:v>RDT-1B: a Diffusion Foundation Model for Bimanual Manipulation</x:v>
      </x:c>
      <x:c r="C58" t="n">
        <x:v>2025</x:v>
      </x:c>
      <x:c r="D58" t="str">
        <x:v>Method Paper</x:v>
      </x:c>
      <x:c r="E58" t="str">
        <x:v>ICLR</x:v>
      </x:c>
      <x:c r="F58" t="str">
        <x:v>正式主会论文：官方论文集核实</x:v>
      </x:c>
      <x:c r="G58" t="str">
        <x:v>A (CCF 7th edition; venue category not independently extracted from official PDF)</x:v>
      </x:c>
      <x:c r="H58" t="str">
        <x:v>Bimanual</x:v>
      </x:c>
      <x:c r="I58" t="str">
        <x:v>Diffusion Foundation Model / Cross-Embodiment</x:v>
      </x:c>
      <x:c r="J58" t="str">
        <x:v>Bimanual; Diffusion Foundation Model / Cross-Embodiment</x:v>
      </x:c>
      <x:c r="K58" t="e">
        <x:f>HYPERLINK("https://proceedings.iclr.cc/paper_files/paper/2025/hash/49f80e4d2471ad4f2edf4f5f1ab62339-Abstract-Conference.html","论文")</x:f>
        <x:v>HYPERLINK is not implemented. linkLocation=https://proceedings.iclr.cc/paper_files/paper/2025/hash/49f80e4d2471ad4f2edf4f5f1ab62339-Abstract-Conference.html, friendlyName=论文</x:v>
      </x:c>
      <x:c r="L58"/>
      <x:c r="M58" t="e">
        <x:f>HYPERLINK("https://rdt-robotics.github.io/rdt-robotics/","Project")</x:f>
        <x:v>HYPERLINK is not implemented. linkLocation=https://rdt-robotics.github.io/rdt-robotics/, friendlyName=Project</x:v>
      </x:c>
      <x:c r="N58" t="e">
        <x:f>HYPERLINK("https://github.com/thu-ml/RoboticsDiffusionTransformer","GitHub")</x:f>
        <x:v>HYPERLINK is not implemented. linkLocation=https://github.com/thu-ml/RoboticsDiffusionTransformer, friendlyName=GitHub</x:v>
      </x:c>
      <x:c r="O58" t="str">
        <x:v>Released</x:v>
      </x:c>
      <x:c r="P58" t="str">
        <x:v>作者提供rdt-ft-data及数据加载说明：https://huggingface.co/datasets/robotics-diffusion-transformer/rdt-ft-data；未下载</x:v>
      </x:c>
      <x:c r="Q58" t="str">
        <x:v>https://huggingface.co/robotics-diffusion-transformer/rdt-1b（作者入口/说明；未验证权重文件可下载或可用性）</x:v>
      </x:c>
      <x:c r="R58" t="str">
        <x:v>Unknown</x:v>
      </x:c>
      <x:c r="S58" t="str">
        <x:v>Bimanual / Parallel Gripper</x:v>
      </x:c>
      <x:c r="T58" t="str">
        <x:v>Cross-Venue official proceedings audit</x:v>
      </x:c>
      <x:c r="U58" t="str">
        <x:v>P0</x:v>
      </x:c>
      <x:c r="V58" t="str">
        <x:v>已检查RDT模型、训练及AgileX推理实现；实际部署仍需机器人接口适配。 Static checks only; no cloning/running or download.</x:v>
      </x:c>
      <x:c r="W58" t="str">
        <x:v>Official Verified</x:v>
      </x:c>
      <x:c r="X58" t="str">
        <x:v>2026-09-18</x:v>
      </x:c>
      <x:c r="Y58" t="str">
        <x:v>Bimanual</x:v>
      </x:c>
      <x:c r="Z58" t="str">
        <x:v>02_Papers/03_Bimanual/RDT-1B.md</x:v>
      </x:c>
      <x:c r="AA58" t="n">
        <x:v>5</x:v>
      </x:c>
      <x:c r="AB58" t="str">
        <x:v>OpenAlex</x:v>
      </x:c>
      <x:c r="AC58" t="str">
        <x:v>2026-09-25</x:v>
      </x:c>
      <x:c r="AD58" t="str">
        <x:v>双臂协调导致动作分布多模态，同时缺少足够训练数据。</x:v>
      </x:c>
      <x:c r="AE58" t="str">
        <x:v>Unknown / Needs Full-Paper Verification</x:v>
      </x:c>
      <x:c r="AF58" t="str">
        <x:v>Unknown / Needs Full-Paper Verification</x:v>
      </x:c>
      <x:c r="AG58" t="str">
        <x:v>论文的双臂机器人示范与真机评测；具体数据混合见原文。</x:v>
      </x:c>
      <x:c r="AH58" t="str">
        <x:v>Unknown / Needs Full-Paper Verification</x:v>
      </x:c>
      <x:c r="AI58" t="str">
        <x:v>Unknown / Needs Full-Paper Verification</x:v>
      </x:c>
      <x:c r="AJ58" t="str">
        <x:v>Unknown / Needs Full-Paper Verification</x:v>
      </x:c>
      <x:c r="AK58" t="str">
        <x:v>作者报告真机任务中优于所比较方法；摘要未给统一数值。</x:v>
      </x:c>
      <x:c r="AL58" t="str">
        <x:v>Unknown / Needs Full-Paper Verification</x:v>
      </x:c>
      <x:c r="AM58" t="str">
        <x:v>Library Analysis / Research Note: Unknown / Needs Full-Paper Verification</x:v>
      </x:c>
      <x:c r="AN58" t="str">
        <x:v>Unknown / Needs Project-Specific Review</x:v>
      </x:c>
      <x:c r="AO58" t="str">
        <x:v>Unknown</x:v>
      </x:c>
      <x:c r="AP58" t="str">
        <x:v>B</x:v>
      </x:c>
      <x:c r="AQ58"/>
      <x:c r="AR58" t="str">
        <x:v>Unknown / Not Explicitly Reported in the currently accessible sources.</x:v>
      </x:c>
      <x:c r="AS58" t="str">
        <x:v>Unknown / Not Explicitly Reported in the currently accessible sources.</x:v>
      </x:c>
      <x:c r="AT58" t="str">
        <x:v>https://openalex.org/W4403364995</x:v>
      </x:c>
      <x:c r="AU58" t="str">
        <x:v>Unknown</x:v>
      </x:c>
      <x:c r="AV58" t="str">
        <x:v>B-Fulltext-Unavailable</x:v>
      </x:c>
      <x:c r="AW58" t="str">
        <x:v>Not Found</x:v>
      </x:c>
      <x:c r="AX58" t="str">
        <x:v>Mostly Complete</x:v>
      </x:c>
      <x:c r="AY58" t="str">
        <x:v>Unknown</x:v>
      </x:c>
      <x:c r="AZ58" t="str">
        <x:v>https://proceedings.iclr.cc/paper_files/paper/2025/file/49f80e4d2471ad4f2edf4f5f1ab62339-Paper-Conference.pdf</x:v>
      </x:c>
      <x:c r="BA58" t="str">
        <x:v>No</x:v>
      </x:c>
      <x:c r="BB58" t="str">
        <x:v>No</x:v>
      </x:c>
      <x:c r="BC58" t="str">
        <x:v>No</x:v>
      </x:c>
      <x:c r="BD58" t="str">
        <x:v>No</x:v>
      </x:c>
      <x:c r="BE58" t="str">
        <x:v>No</x:v>
      </x:c>
      <x:c r="BF58" t="str">
        <x:v>No</x:v>
      </x:c>
      <x:c r="BG58" t="str">
        <x:v>No</x:v>
      </x:c>
      <x:c r="BH58" t="str">
        <x:v>Matched</x:v>
      </x:c>
      <x:c r="BI58" t="str">
        <x:v>Not Found After Verification</x:v>
      </x:c>
      <x:c r="BJ58" t="str">
        <x:v>Not Found After Verification</x:v>
      </x:c>
      <x:c r="BK58" t="str">
        <x:v>Audit logged - deep extraction pending</x:v>
      </x:c>
      <x:c r="BL58" t="str">
        <x:v>false</x:v>
      </x:c>
      <x:c r="BM58"/>
      <x:c r="BN58" t="str">
        <x:v>研究问题：双臂协调导致动作分布多模态，同时缺少足够训练数据。；之前方法的问题：普通单臂策略难直接表示两臂共同运动与接触。；核心思路：RDT-1B 用 Robotics Diffusion Transformer 建立双臂操作基础策略，生成协调的双臂动作。；数据集与评测基准：论文的双臂机器人示范与真机评测；具体数据混合见原文。；主要结果：作者报告真机任务中优于所比较方法；摘要未给统一数值。；为什么重要：是项目比较双臂 Diffusion Policy 与 VLA 动作头的核心基线。；与当前项目的关系：High：与双臂普通夹爪和真机操作直接相关。；主要局限：不同夹爪、相机和动作空间的可迁移性仍需按原论文与本项目实验核验。</x:v>
      </x:c>
      <x:c r="BO58" t="str">
        <x:v>普通单臂策略难直接表示两臂共同运动与接触。</x:v>
      </x:c>
      <x:c r="BP58" t="str">
        <x:v>RDT-1B 用 Robotics Diffusion Transformer 建立双臂操作基础策略，生成协调的双臂动作。</x:v>
      </x:c>
      <x:c r="BQ58"/>
      <x:c r="BR58" t="str">
        <x:v>作者报告真机任务中优于所比较方法；摘要未给统一数值。</x:v>
      </x:c>
      <x:c r="BS58" t="str">
        <x:v>是项目比较双臂 Diffusion Policy 与 VLA 动作头的核心基线。</x:v>
      </x:c>
      <x:c r="BT58" t="str">
        <x:v>不同夹爪、相机和动作空间的可迁移性仍需按原论文与本项目实验核验。</x:v>
      </x:c>
      <x:c r="BU58"/>
      <x:c r="BV58" t="str">
        <x:v>High：与双臂普通夹爪和真机操作直接相关。</x:v>
      </x:c>
      <x:c r="BW58" t="str">
        <x:v>官方摘要/论文页; https://proceedings.iclr.cc/paper_files/paper/2025/hash/49f80e4d2471ad4f2edf4f5f1ab62339-Abstract-Conference.html; 核验于 2026-09-23. 仅为摘要级速读；原 Evidence Quality 不变。 - 核验层级：摘要有可追溯来源</x:v>
      </x:c>
      <x:c r="BX58" t="str">
        <x:v>final-title</x:v>
      </x:c>
      <x:c r="BY58" t="n">
        <x:v>0</x:v>
      </x:c>
      <x:c r="BZ58" t="n">
        <x:v>10</x:v>
      </x:c>
    </x:row>
    <x:row r="59" ht="58" customHeight="1">
      <x:c r="A59" t="str">
        <x:v>D058</x:v>
      </x:c>
      <x:c r="B59" t="str">
        <x:v>TwinVLA: Data-Efficient Bimanual Manipulation with Twin Single-Arm Vision-Language-Action Models</x:v>
      </x:c>
      <x:c r="C59" t="n">
        <x:v>2026</x:v>
      </x:c>
      <x:c r="D59" t="str">
        <x:v>Method Paper</x:v>
      </x:c>
      <x:c r="E59" t="str">
        <x:v>ICLR</x:v>
      </x:c>
      <x:c r="F59" t="str">
        <x:v>正式主会论文：官方论文集核实</x:v>
      </x:c>
      <x:c r="G59" t="str">
        <x:v>A (CCF 7th edition; venue category not independently extracted from official PDF)</x:v>
      </x:c>
      <x:c r="H59" t="str">
        <x:v>VLA / Robot Foundation Models; Bimanual</x:v>
      </x:c>
      <x:c r="I59" t="str">
        <x:v>VLA / Data Efficiency / Joint Attention</x:v>
      </x:c>
      <x:c r="J59" t="str">
        <x:v>Bimanual; VLA / Data Efficiency / Joint Attention</x:v>
      </x:c>
      <x:c r="K59" t="e">
        <x:f>HYPERLINK("https://proceedings.iclr.cc/paper_files/paper/2026/hash/65475a59e2a2cb707c9462e8a308e980-Abstract-Conference.html","论文")</x:f>
        <x:v>HYPERLINK is not implemented. linkLocation=https://proceedings.iclr.cc/paper_files/paper/2026/hash/65475a59e2a2cb707c9462e8a308e980-Abstract-Conference.html, friendlyName=论文</x:v>
      </x:c>
      <x:c r="L59"/>
      <x:c r="M59" t="e">
        <x:f>HYPERLINK("https://jellyho.github.io/TwinVLA/","Project")</x:f>
        <x:v>HYPERLINK is not implemented. linkLocation=https://jellyho.github.io/TwinVLA/, friendlyName=Project</x:v>
      </x:c>
      <x:c r="N59" t="e">
        <x:f>HYPERLINK("https://github.com/jellyho/TwinVLA","GitHub")</x:f>
        <x:v>HYPERLINK is not implemented. linkLocation=https://github.com/jellyho/TwinVLA, friendlyName=GitHub</x:v>
      </x:c>
      <x:c r="O59" t="str">
        <x:v>Released</x:v>
      </x:c>
      <x:c r="P59" t="str">
        <x:v>作者提供数据集合：https://huggingface.co/collections/jellyho/twinvla-datasets；未下载</x:v>
      </x:c>
      <x:c r="Q59" t="str">
        <x:v>https://huggingface.co/collections/jellyho/twinvla（作者入口/说明；未验证权重文件可下载或可用性）</x:v>
      </x:c>
      <x:c r="R59" t="str">
        <x:v>Unknown</x:v>
      </x:c>
      <x:c r="S59" t="str">
        <x:v>Bimanual / Parallel Gripper</x:v>
      </x:c>
      <x:c r="T59" t="str">
        <x:v>Cross-Venue official proceedings audit</x:v>
      </x:c>
      <x:c r="U59" t="str">
        <x:v>P0</x:v>
      </x:c>
      <x:c r="V59" t="str">
        <x:v>官方2026论文集确认；已查模型、训练、RoboTwin部署。论文集年份优先于2025预印本。 Static checks only; no cloning/running or download.</x:v>
      </x:c>
      <x:c r="W59" t="str">
        <x:v>Official Verified</x:v>
      </x:c>
      <x:c r="X59" t="str">
        <x:v>2026-09-18</x:v>
      </x:c>
      <x:c r="Y59" t="str">
        <x:v>Bimanual</x:v>
      </x:c>
      <x:c r="Z59" t="str">
        <x:v>02_Papers/03_Bimanual/TwinVLA.md</x:v>
      </x:c>
      <x:c r="AA59" t="n">
        <x:v>0</x:v>
      </x:c>
      <x:c r="AB59" t="str">
        <x:v>OpenAlex</x:v>
      </x:c>
      <x:c r="AC59" t="str">
        <x:v>2026-09-25</x:v>
      </x:c>
      <x:c r="AD59" t="str">
        <x:v>双臂 VLA 训练通常需要昂贵的双臂示范和大模型参数。</x:v>
      </x:c>
      <x:c r="AE59" t="str">
        <x:v>Unknown / Needs Full-Paper Verification</x:v>
      </x:c>
      <x:c r="AF59" t="str">
        <x:v>Unknown / Needs Full-Paper Verification</x:v>
      </x:c>
      <x:c r="AG59" t="str">
        <x:v>仿真与真机双臂操作任务。</x:v>
      </x:c>
      <x:c r="AH59" t="str">
        <x:v>Unknown / Needs Full-Paper Verification</x:v>
      </x:c>
      <x:c r="AI59" t="str">
        <x:v>Unknown / Needs Full-Paper Verification</x:v>
      </x:c>
      <x:c r="AJ59" t="str">
        <x:v>Unknown / Needs Full-Paper Verification</x:v>
      </x:c>
      <x:c r="AK59" t="str">
        <x:v>论文报告在若干双臂任务上优于同规模 RDT-1B，而无需双臂预训练；具体任务结果见原文。</x:v>
      </x:c>
      <x:c r="AL59" t="str">
        <x:v>Unknown / Needs Full-Paper Verification</x:v>
      </x:c>
      <x:c r="AM59" t="str">
        <x:v>Library Analysis / Research Note: Unknown / Needs Full-Paper Verification</x:v>
      </x:c>
      <x:c r="AN59" t="str">
        <x:v>Unknown / Needs Project-Specific Review</x:v>
      </x:c>
      <x:c r="AO59" t="str">
        <x:v>Unknown</x:v>
      </x:c>
      <x:c r="AP59" t="str">
        <x:v>B</x:v>
      </x:c>
      <x:c r="AQ59"/>
      <x:c r="AR59" t="str">
        <x:v>Unknown / Not Explicitly Reported in the currently accessible sources.</x:v>
      </x:c>
      <x:c r="AS59" t="str">
        <x:v>Unknown / Not Explicitly Reported in the currently accessible sources.</x:v>
      </x:c>
      <x:c r="AT59" t="str">
        <x:v>https://openalex.org/W7104616842</x:v>
      </x:c>
      <x:c r="AU59" t="str">
        <x:v>Unknown</x:v>
      </x:c>
      <x:c r="AV59" t="str">
        <x:v>B-Fulltext-Unavailable</x:v>
      </x:c>
      <x:c r="AW59" t="str">
        <x:v>Not Found</x:v>
      </x:c>
      <x:c r="AX59" t="str">
        <x:v>Mostly Complete</x:v>
      </x:c>
      <x:c r="AY59" t="str">
        <x:v>Unknown</x:v>
      </x:c>
      <x:c r="AZ59" t="str">
        <x:v>https://proceedings.iclr.cc/paper_files/paper/2026/file/65475a59e2a2cb707c9462e8a308e980-Paper-Conference.pdf</x:v>
      </x:c>
      <x:c r="BA59" t="str">
        <x:v>No</x:v>
      </x:c>
      <x:c r="BB59" t="str">
        <x:v>No</x:v>
      </x:c>
      <x:c r="BC59" t="str">
        <x:v>No</x:v>
      </x:c>
      <x:c r="BD59" t="str">
        <x:v>No</x:v>
      </x:c>
      <x:c r="BE59" t="str">
        <x:v>No</x:v>
      </x:c>
      <x:c r="BF59" t="str">
        <x:v>No</x:v>
      </x:c>
      <x:c r="BG59" t="str">
        <x:v>No</x:v>
      </x:c>
      <x:c r="BH59" t="str">
        <x:v>Matched</x:v>
      </x:c>
      <x:c r="BI59" t="str">
        <x:v>Not Found After Verification</x:v>
      </x:c>
      <x:c r="BJ59" t="str">
        <x:v>Not Found After Verification</x:v>
      </x:c>
      <x:c r="BK59" t="str">
        <x:v>Audit logged - deep extraction pending</x:v>
      </x:c>
      <x:c r="BL59" t="str">
        <x:v>false</x:v>
      </x:c>
      <x:c r="BM59"/>
      <x:c r="BN59" t="str">
        <x:v>研究问题：双臂 VLA 训练通常需要昂贵的双臂示范和大模型参数。；之前方法的问题：从单臂 VLA 迁移时，两只手臂仍要协调，而不能简单独立执行。；核心思路：TwinVLA 组合两个预训练单臂 VLA，并加入协调机制形成双臂策略。；数据集与评测基准：仿真与真机双臂操作任务。；主要结果：论文报告在若干双臂任务上优于同规模 RDT-1B，而无需双臂预训练；具体任务结果见原文。；为什么重要：提供低成本复用单臂模型的双臂 VLA 路线。；与当前项目的关系：High：直接关系到项目未来 VLA 迁移。；主要局限：即使无双臂预训练，协调模块与目标任务示范需求仍需具体核实。</x:v>
      </x:c>
      <x:c r="BO59" t="str">
        <x:v>从单臂 VLA 迁移时，两只手臂仍要协调，而不能简单独立执行。</x:v>
      </x:c>
      <x:c r="BP59" t="str">
        <x:v>TwinVLA 组合两个预训练单臂 VLA，并加入协调机制形成双臂策略。</x:v>
      </x:c>
      <x:c r="BQ59"/>
      <x:c r="BR59" t="str">
        <x:v>论文报告在若干双臂任务上优于同规模 RDT-1B，而无需双臂预训练；具体任务结果见原文。</x:v>
      </x:c>
      <x:c r="BS59" t="str">
        <x:v>提供低成本复用单臂模型的双臂 VLA 路线。</x:v>
      </x:c>
      <x:c r="BT59" t="str">
        <x:v>即使无双臂预训练，协调模块与目标任务示范需求仍需具体核实。</x:v>
      </x:c>
      <x:c r="BU59"/>
      <x:c r="BV59" t="str">
        <x:v>High：直接关系到项目未来 VLA 迁移。</x:v>
      </x:c>
      <x:c r="BW59" t="str">
        <x:v>官方摘要/论文页; https://proceedings.iclr.cc/paper_files/paper/2026/hash/65475a59e2a2cb707c9462e8a308e980-Abstract-Conference.html; 核验于 2026-09-23. 仅为摘要级速读；原 Evidence Quality 不变。 - 核验层级：摘要有可追溯来源</x:v>
      </x:c>
      <x:c r="BX59" t="str">
        <x:v>final-title</x:v>
      </x:c>
      <x:c r="BY59" t="n">
        <x:v>0</x:v>
      </x:c>
      <x:c r="BZ59" t="n">
        <x:v>0</x:v>
      </x:c>
    </x:row>
    <x:row r="60" ht="58" customHeight="1">
      <x:c r="A60" t="str">
        <x:v>D059</x:v>
      </x:c>
      <x:c r="B60" t="str">
        <x:v>RoboTwin: Dual-Arm Robot Benchmark with Generative Digital Twins</x:v>
      </x:c>
      <x:c r="C60" t="n">
        <x:v>2025</x:v>
      </x:c>
      <x:c r="D60" t="str">
        <x:v>Dataset / Benchmark</x:v>
      </x:c>
      <x:c r="E60" t="str">
        <x:v>CVPR</x:v>
      </x:c>
      <x:c r="F60" t="str">
        <x:v>正式主会论文：官方论文集核实</x:v>
      </x:c>
      <x:c r="G60" t="str">
        <x:v>A (CCF 7th edition; venue category not independently extracted from official PDF)</x:v>
      </x:c>
      <x:c r="H60" t="str">
        <x:v>Bimanual; Dataset / Benchmark</x:v>
      </x:c>
      <x:c r="I60" t="str">
        <x:v>Benchmark / Synthetic Demonstrations</x:v>
      </x:c>
      <x:c r="J60" t="str">
        <x:v>Bimanual; Benchmark / Synthetic Demonstrations</x:v>
      </x:c>
      <x:c r="K60" t="e">
        <x:f>HYPERLINK("https://openaccess.thecvf.com/content/CVPR2025/html/Mu_RoboTwin_Dual-Arm_Robot_Benchmark_with_Generative_Digital_Twins_CVPR_2025_paper.html","论文")</x:f>
        <x:v>HYPERLINK is not implemented. linkLocation=https://openaccess.thecvf.com/content/CVPR2025/html/Mu_RoboTwin_Dual-Arm_Robot_Benchmark_with_Generative_Digital_Twins_CVPR_2025_paper.html, friendlyName=论文</x:v>
      </x:c>
      <x:c r="L60"/>
      <x:c r="M60" t="e">
        <x:f>HYPERLINK("https://robotwin-platform.github.io/","Project")</x:f>
        <x:v>HYPERLINK is not implemented. linkLocation=https://robotwin-platform.github.io/, friendlyName=Project</x:v>
      </x:c>
      <x:c r="N60" t="e">
        <x:f>HYPERLINK("https://github.com/RoboTwin-Platform/RoboTwin/tree/RoboTwin-1.0","GitHub")</x:f>
        <x:v>HYPERLINK is not implemented. linkLocation=https://github.com/RoboTwin-Platform/RoboTwin/tree/RoboTwin-1.0, friendlyName=GitHub</x:v>
      </x:c>
      <x:c r="O60" t="str">
        <x:v>Released</x:v>
      </x:c>
      <x:c r="P60" t="str">
        <x:v>作者提供资源下载与示范采集脚本；本轮未下载或核验数据完整性</x:v>
      </x:c>
      <x:c r="Q60"/>
      <x:c r="R60" t="str">
        <x:v>Unknown</x:v>
      </x:c>
      <x:c r="S60" t="str">
        <x:v>Bimanual / Parallel Gripper</x:v>
      </x:c>
      <x:c r="T60" t="str">
        <x:v>Cross-Venue official proceedings audit</x:v>
      </x:c>
      <x:c r="U60" t="str">
        <x:v>P0</x:v>
      </x:c>
      <x:c r="V60" t="str">
        <x:v>采用RoboTwin-1.0分支；已查任务环境、交接动作及评估。与早期ECCV Workshop版本、CVPR Workshop竞赛报告、2.0版本区别记录。 Static checks only; no cloning/running or download.</x:v>
      </x:c>
      <x:c r="W60" t="str">
        <x:v>Official Verified</x:v>
      </x:c>
      <x:c r="X60" t="str">
        <x:v>2026-09-18</x:v>
      </x:c>
      <x:c r="Y60" t="str">
        <x:v>Benchmark / Dataset</x:v>
      </x:c>
      <x:c r="Z60" t="str">
        <x:v>02_Papers/10_Benchmark_Dataset/RoboTwin.md</x:v>
      </x:c>
      <x:c r="AA60" t="n">
        <x:v>28</x:v>
      </x:c>
      <x:c r="AB60" t="str">
        <x:v>Crossref</x:v>
      </x:c>
      <x:c r="AC60" t="str">
        <x:v>2026-09-25</x:v>
      </x:c>
      <x:c r="AD60" t="str">
        <x:v>双臂协调与复杂物体操作缺少足够多样的高质量示范和贴近现实的评测环境。</x:v>
      </x:c>
      <x:c r="AE60" t="str">
        <x:v>Unknown / Needs Full-Paper Verification</x:v>
      </x:c>
      <x:c r="AF60" t="str">
        <x:v>以 `Bimanual; Benchmark / Synthetic Demonstrations` 为主要方法/能力线索；更细的结构和消融结论待正文核验。</x:v>
      </x:c>
      <x:c r="AG60" t="str">
        <x:v>RoboTwin 含仿真与真实数据；作者提供资源下载和示范采集脚本，本轮未下载核验数据完整性。</x:v>
      </x:c>
      <x:c r="AH60" t="str">
        <x:v>Unknown / Needs Full-Paper Verification</x:v>
      </x:c>
      <x:c r="AI60" t="str">
        <x:v>- To address this, we introduce RoboTwin, a generative digital twin framework that uses 3D generative foundation models and large language models to produce diverse expert datasets and provide a real-world-aligned evaluation platform for dual-arm robotic tasks.</x:v>
      </x:c>
      <x:c r="AJ60" t="str">
        <x:v>Real Robot 字段为 `Unknown`；Dataset、Benchmark、Robot Platform 中的 Unknown 继续保留，不从题名推断。</x:v>
      </x:c>
      <x:c r="AK60" t="str">
        <x:v>摘要说明其提供仿真与真实数据的统一评测；具体成功率需查实验章节。</x:v>
      </x:c>
      <x:c r="AL60" t="str">
        <x:v>Unknown / Needs Full-Paper Verification</x:v>
      </x:c>
      <x:c r="AM60" t="str">
        <x:v>Library Analysis / Research Note: Unknown / Needs Full-Paper Verification</x:v>
      </x:c>
      <x:c r="AN60" t="str">
        <x:v>** 与 NERO 双臂、普通夹爪、示范采集和双臂策略学习直接相关，优先评估动作表示与协同控制是否可迁移。</x:v>
      </x:c>
      <x:c r="AO60" t="str">
        <x:v>Bimanual; Benchmark / Synthetic Demonstrations</x:v>
      </x:c>
      <x:c r="AP60" t="str">
        <x:v>B</x:v>
      </x:c>
      <x:c r="AQ60"/>
      <x:c r="AR60" t="str">
        <x:v>Unknown / Not Explicitly Reported in the currently accessible sources.</x:v>
      </x:c>
      <x:c r="AS60" t="str">
        <x:v>Unknown / Not Explicitly Reported in the currently accessible sources.</x:v>
      </x:c>
      <x:c r="AT60" t="str">
        <x:v>https://api.crossref.org/works/10.1109/cvpr52734.2025.02575</x:v>
      </x:c>
      <x:c r="AU60" t="str">
        <x:v>https://openaccess.thecvf.com/content/CVPR2025/html/Mu_RoboTwin_Dual-Arm_Robot_Benchmark_with_Generative_Digital_Twins_CVPR_2025_paper.html；官方摘要/论文集元数据</x:v>
      </x:c>
      <x:c r="AV60" t="str">
        <x:v>B-Fulltext-Unavailable</x:v>
      </x:c>
      <x:c r="AW60" t="str">
        <x:v>Not Found</x:v>
      </x:c>
      <x:c r="AX60" t="str">
        <x:v>Mostly Complete</x:v>
      </x:c>
      <x:c r="AY60" t="str">
        <x:v>Unknown</x:v>
      </x:c>
      <x:c r="AZ60" t="str">
        <x:v>https://openaccess.thecvf.com/content/CVPR2025/papers/Mu_RoboTwin_Dual-Arm_Robot_Benchmark_with_Generative_Digital_Twins_CVPR_2025_paper.pdf</x:v>
      </x:c>
      <x:c r="BA60" t="str">
        <x:v>No</x:v>
      </x:c>
      <x:c r="BB60" t="str">
        <x:v>No</x:v>
      </x:c>
      <x:c r="BC60" t="str">
        <x:v>No</x:v>
      </x:c>
      <x:c r="BD60" t="str">
        <x:v>No</x:v>
      </x:c>
      <x:c r="BE60" t="str">
        <x:v>No</x:v>
      </x:c>
      <x:c r="BF60" t="str">
        <x:v>No</x:v>
      </x:c>
      <x:c r="BG60" t="str">
        <x:v>No</x:v>
      </x:c>
      <x:c r="BH60" t="str">
        <x:v>Matched</x:v>
      </x:c>
      <x:c r="BI60" t="str">
        <x:v>Not Found After Verification</x:v>
      </x:c>
      <x:c r="BJ60" t="str">
        <x:v>Not Found After Verification</x:v>
      </x:c>
      <x:c r="BK60" t="str">
        <x:v>Audit logged - deep extraction pending</x:v>
      </x:c>
      <x:c r="BL60" t="str">
        <x:v>false</x:v>
      </x:c>
      <x:c r="BM60"/>
      <x:c r="BN60" t="str">
        <x:v>研究问题：双臂协调与复杂物体操作缺少足够多样的高质量示范和贴近现实的评测环境。；之前方法的问题：示范稀缺且仿真评测与真实场景存在差距。；核心思路：RoboTwin 用 3D 生成模型及大语言模型构建生成式数字孪生，生成专家数据并建立双臂评测平台。；数据集与评测基准：RoboTwin 含仿真与真实数据；作者提供资源下载和示范采集脚本，本轮未下载核验数据完整性。；主要结果：摘要说明其提供仿真与真实数据的统一评测；具体成功率需查实验章节。；为什么重要：将双臂数据生成与现实对齐评测放入同一框架。；与当前项目的关系：High：与普通夹爪双臂策略的数据和任务设计直接相关。；主要局限：生成数据的物理一致性和真实迁移效果需按论文实验进一步核验。</x:v>
      </x:c>
      <x:c r="BO60" t="str">
        <x:v>示范稀缺且仿真评测与真实场景存在差距。</x:v>
      </x:c>
      <x:c r="BP60" t="str">
        <x:v>RoboTwin 用 3D 生成模型及大语言模型构建生成式数字孪生，生成专家数据并建立双臂评测平台。</x:v>
      </x:c>
      <x:c r="BQ60"/>
      <x:c r="BR60" t="str">
        <x:v>摘要说明其提供仿真与真实数据的统一评测；具体成功率需查实验章节。</x:v>
      </x:c>
      <x:c r="BS60" t="str">
        <x:v>将双臂数据生成与现实对齐评测放入同一框架。</x:v>
      </x:c>
      <x:c r="BT60" t="str">
        <x:v>生成数据的物理一致性和真实迁移效果需按论文实验进一步核验。</x:v>
      </x:c>
      <x:c r="BU60"/>
      <x:c r="BV60" t="str">
        <x:v>High：与普通夹爪双臂策略的数据和任务设计直接相关。</x:v>
      </x:c>
      <x:c r="BW60" t="str">
        <x:v>官方摘要/论文页; https://openaccess.thecvf.com/content/CVPR2025/html/Mu_RoboTwin_Dual-Arm_Robot_Benchmark_with_Generative_Digital_Twins_CVPR_2025_paper.html; 核验于 2026-09-23. 仅为摘要级速读；原 Evidence Quality 不变。 - 核验层级：摘要有可追溯来源</x:v>
      </x:c>
      <x:c r="BX60" t="str">
        <x:v>crossref-exact-title-pdf-authors</x:v>
      </x:c>
      <x:c r="BY60" t="n">
        <x:v>0</x:v>
      </x:c>
      <x:c r="BZ60" t="n">
        <x:v>2</x:v>
      </x:c>
    </x:row>
    <x:row r="61" ht="58" customHeight="1">
      <x:c r="A61" t="str">
        <x:v>D060</x:v>
      </x:c>
      <x:c r="B61" t="str">
        <x:v>BridgeVLA: Input-Output Alignment for Efficient 3D Manipulation Learning with Vision-Language Models</x:v>
      </x:c>
      <x:c r="C61" t="n">
        <x:v>2025</x:v>
      </x:c>
      <x:c r="D61" t="str">
        <x:v>Method Paper</x:v>
      </x:c>
      <x:c r="E61" t="str">
        <x:v>NeurIPS</x:v>
      </x:c>
      <x:c r="F61" t="str">
        <x:v>正式主会论文：官方论文集核实</x:v>
      </x:c>
      <x:c r="G61" t="str">
        <x:v>A (CCF 7th edition; venue category not independently extracted from official PDF)</x:v>
      </x:c>
      <x:c r="H61" t="str">
        <x:v>VLA / Robot Foundation Models</x:v>
      </x:c>
      <x:c r="I61" t="str">
        <x:v>3D Manipulation / Data Efficiency</x:v>
      </x:c>
      <x:c r="J61" t="str">
        <x:v>VLA; 3D Manipulation / Data Efficiency</x:v>
      </x:c>
      <x:c r="K61" t="e">
        <x:f>HYPERLINK("https://proceedings.neurips.cc/paper_files/paper/2025/hash/5c1a8aa04c1a2cf5013f28831870dafa-Abstract-Conference.html","论文")</x:f>
        <x:v>HYPERLINK is not implemented. linkLocation=https://proceedings.neurips.cc/paper_files/paper/2025/hash/5c1a8aa04c1a2cf5013f28831870dafa-Abstract-Conference.html, friendlyName=论文</x:v>
      </x:c>
      <x:c r="L61"/>
      <x:c r="M61" t="e">
        <x:f>HYPERLINK("https://bridgevla.github.io/","Project")</x:f>
        <x:v>HYPERLINK is not implemented. linkLocation=https://bridgevla.github.io/, friendlyName=Project</x:v>
      </x:c>
      <x:c r="N61" t="e">
        <x:f>HYPERLINK("https://github.com/BridgeVLA/BridgeVLA/tree/bridgevla","GitHub")</x:f>
        <x:v>HYPERLINK is not implemented. linkLocation=https://github.com/BridgeVLA/BridgeVLA/tree/bridgevla, friendlyName=GitHub</x:v>
      </x:c>
      <x:c r="O61" t="str">
        <x:v>Released</x:v>
      </x:c>
      <x:c r="P61" t="str">
        <x:v>README提供预训练数据及RLBench/COLOSSEUM/GemBench说明；入口存在，未下载</x:v>
      </x:c>
      <x:c r="Q61" t="str">
        <x:v>https://huggingface.co/datasets/LPY/BridgeVLA/tree/main/checkpoints/bridgevla（作者入口/说明；未验证权重文件可下载或可用性）</x:v>
      </x:c>
      <x:c r="R61" t="str">
        <x:v>Unknown</x:v>
      </x:c>
      <x:c r="S61" t="str">
        <x:v>Single Arm / Parallel Gripper</x:v>
      </x:c>
      <x:c r="T61" t="str">
        <x:v>Cross-Venue official proceedings audit</x:v>
      </x:c>
      <x:c r="U61" t="str">
        <x:v>P0</x:v>
      </x:c>
      <x:c r="V61" t="str">
        <x:v>原论文代码在bridgevla分支；main已是BridgeVLA++，不可混用。已查agent、训练、评估；PaliGemma基础权重需申请访问。 Static checks only; no cloning/running or download.</x:v>
      </x:c>
      <x:c r="W61" t="str">
        <x:v>Official Verified</x:v>
      </x:c>
      <x:c r="X61" t="str">
        <x:v>2026-09-18</x:v>
      </x:c>
      <x:c r="Y61" t="str">
        <x:v>VLA</x:v>
      </x:c>
      <x:c r="Z61" t="str">
        <x:v>02_Papers/01_VLA/BridgeVLA.md</x:v>
      </x:c>
      <x:c r="AA61" t="n">
        <x:v>0</x:v>
      </x:c>
      <x:c r="AB61" t="str">
        <x:v>OpenAlex</x:v>
      </x:c>
      <x:c r="AC61" t="str">
        <x:v>2026-09-25</x:v>
      </x:c>
      <x:c r="AD61" t="str">
        <x:v>许多 VLA 对三维空间信息的利用不足，影响操作动作的空间准确性与数据效率。</x:v>
      </x:c>
      <x:c r="AE61" t="str">
        <x:v>Unknown / Needs Full-Paper Verification</x:v>
      </x:c>
      <x:c r="AF61" t="str">
        <x:v>以 `VLA; 3D Manipulation / Data Efficiency` 为主要方法/能力线索；更细的结构和消融结论待正文核验。</x:v>
      </x:c>
      <x:c r="AG61" t="str">
        <x:v>论文评估 RLBench、COLOSSEUM 与 GemBench；预训练数据和下载入口以官方仓库说明为准。</x:v>
      </x:c>
      <x:c r="AH61" t="str">
        <x:v>Unknown / Needs Full-Paper Verification</x:v>
      </x:c>
      <x:c r="AI61" t="str">
        <x:v>- In this paper, we introduce a new paradigm for constructing 3D VLAs.</x:v>
      </x:c>
      <x:c r="AJ61" t="str">
        <x:v>Real Robot 字段为 `Unknown`；Dataset、Benchmark、Robot Platform 中的 Unknown 继续保留，不从题名推断。</x:v>
      </x:c>
      <x:c r="AK61" t="str">
        <x:v>Unknown / Needs Full-Paper Verification</x:v>
      </x:c>
      <x:c r="AL61" t="str">
        <x:v>Unknown / Needs Full-Paper Verification</x:v>
      </x:c>
      <x:c r="AM61" t="str">
        <x:v>Library Analysis / Research Note: Unknown / Needs Full-Paper Verification</x:v>
      </x:c>
      <x:c r="AN61" t="str">
        <x:v>** 可用于 VLA/机器人基础模型路线对比；应重点核对动作头、训练数据与真机部署成本是否适合当前平台。</x:v>
      </x:c>
      <x:c r="AO61" t="str">
        <x:v>VLA; 3D Manipulation / Data Efficiency</x:v>
      </x:c>
      <x:c r="AP61" t="str">
        <x:v>A</x:v>
      </x:c>
      <x:c r="AQ61"/>
      <x:c r="AR61" t="str">
        <x:v>Unknown / Not Explicitly Reported in the currently accessible sources.</x:v>
      </x:c>
      <x:c r="AS61" t="str">
        <x:v>Unknown / Not Explicitly Reported in the currently accessible sources.</x:v>
      </x:c>
      <x:c r="AT61" t="str">
        <x:v>https://openalex.org/W4415272059</x:v>
      </x:c>
      <x:c r="AU61" t="str">
        <x:v>https://proceedings.neurips.cc/paper_files/paper/2025/hash/5c1a8aa04c1a2cf5013f28831870dafa-Abstract-Conference.html；官方摘要/论文集元数据</x:v>
      </x:c>
      <x:c r="AV61" t="str">
        <x:v>A-Upgraded</x:v>
      </x:c>
      <x:c r="AW61" t="str">
        <x:v>Not Found</x:v>
      </x:c>
      <x:c r="AX61" t="str">
        <x:v>Mostly Complete</x:v>
      </x:c>
      <x:c r="AY61" t="str">
        <x:v>Unknown</x:v>
      </x:c>
      <x:c r="AZ61" t="str">
        <x:v>https://proceedings.neurips.cc/paper_files/paper/2025/file/5c1a8aa04c1a2cf5013f28831870dafa-Paper-Conference.pdf</x:v>
      </x:c>
      <x:c r="BA61" t="str">
        <x:v>No</x:v>
      </x:c>
      <x:c r="BB61" t="str">
        <x:v>No</x:v>
      </x:c>
      <x:c r="BC61" t="str">
        <x:v>No</x:v>
      </x:c>
      <x:c r="BD61" t="str">
        <x:v>No</x:v>
      </x:c>
      <x:c r="BE61" t="str">
        <x:v>No</x:v>
      </x:c>
      <x:c r="BF61" t="str">
        <x:v>No</x:v>
      </x:c>
      <x:c r="BG61" t="str">
        <x:v>No</x:v>
      </x:c>
      <x:c r="BH61" t="str">
        <x:v>Matched</x:v>
      </x:c>
      <x:c r="BI61" t="str">
        <x:v>Not Found After Verification</x:v>
      </x:c>
      <x:c r="BJ61" t="str">
        <x:v>Not Found After Verification</x:v>
      </x:c>
      <x:c r="BK61" t="str">
        <x:v>Audit logged - deep extraction pending</x:v>
      </x:c>
      <x:c r="BL61" t="str">
        <x:v>false</x:v>
      </x:c>
      <x:c r="BM61"/>
      <x:c r="BN61" t="str">
        <x:v>研究问题：许多 VLA 对三维空间信息的利用不足，影响操作动作的空间准确性与数据效率。；之前方法的问题：一些 3D VLA 尚未充分利用三维数据自带的空间结构，影响动作预测的数据效率。；核心思路：BridgeVLA 研究视觉语言模型与三维输入/输出的对齐，让空间结构参与动作预测。；数据集与评测基准：论文评估 RLBench、COLOSSEUM 与 GemBench；预训练数据和下载入口以官方仓库说明为准。；为什么重要：为 VLA 如何利用三维几何信息提供了可比较的基线。；与当前项目的关系：High：有助于研究语言条件操作与 VLA 设计。；主要局限：作者把更充分的 3D 输入/输出对齐与训练效率列为后续方向；当前结果主要验证于报告的 Franka 设置。</x:v>
      </x:c>
      <x:c r="BO61" t="str">
        <x:v>一些 3D VLA 尚未充分利用三维数据自带的空间结构，影响动作预测的数据效率。</x:v>
      </x:c>
      <x:c r="BP61" t="str">
        <x:v>BridgeVLA 研究视觉语言模型与三维输入/输出的对齐，让空间结构参与动作预测。</x:v>
      </x:c>
      <x:c r="BQ61"/>
      <x:c r="BR61" t="str">
        <x:v>卡片记录 RLBench 平均成功率 88.2% 对 81.4%，COLOSSEUM 为 64.0% 对 56.7%；其余数值与实验设定见原卡表格证据。</x:v>
      </x:c>
      <x:c r="BS61" t="str">
        <x:v>为 VLA 如何利用三维几何信息提供了可比较的基线。</x:v>
      </x:c>
      <x:c r="BT61" t="str">
        <x:v>作者把更充分的 3D 输入/输出对齐与训练效率列为后续方向；当前结果主要验证于报告的 Franka 设置。</x:v>
      </x:c>
      <x:c r="BU61"/>
      <x:c r="BV61" t="str">
        <x:v>High：有助于研究语言条件操作与 VLA 设计。</x:v>
      </x:c>
      <x:c r="BW61" t="str">
        <x:v>官方摘要/论文页; https://arxiv.org/html/2506.07961; 核验于 2026-09-23. 仅为摘要级速读；原 Evidence Quality 不变。 - 核验层级：摘要有可追溯来源</x:v>
      </x:c>
      <x:c r="BX61" t="str">
        <x:v>doi</x:v>
      </x:c>
      <x:c r="BY61" t="n">
        <x:v>4</x:v>
      </x:c>
      <x:c r="BZ61" t="n">
        <x:v>2</x:v>
      </x:c>
    </x:row>
    <x:row r="62" ht="58" customHeight="1">
      <x:c r="A62" t="str">
        <x:v>D061</x:v>
      </x:c>
      <x:c r="B62" t="str">
        <x:v>VLA-Cache: Efficient Vision-Language-Action Manipulation via Adaptive Token Caching</x:v>
      </x:c>
      <x:c r="C62" t="n">
        <x:v>2025</x:v>
      </x:c>
      <x:c r="D62" t="str">
        <x:v>Method Paper</x:v>
      </x:c>
      <x:c r="E62" t="str">
        <x:v>NeurIPS</x:v>
      </x:c>
      <x:c r="F62" t="str">
        <x:v>正式主会论文：官方论文集核实</x:v>
      </x:c>
      <x:c r="G62" t="str">
        <x:v>A</x:v>
      </x:c>
      <x:c r="H62" t="str">
        <x:v>VLA / Robot Foundation Models</x:v>
      </x:c>
      <x:c r="I62" t="str">
        <x:v>Inference Acceleration / Token Caching</x:v>
      </x:c>
      <x:c r="J62" t="str">
        <x:v>VLA; Inference Acceleration / Token Caching</x:v>
      </x:c>
      <x:c r="K62" t="e">
        <x:f>HYPERLINK("https://proceedings.neurips.cc/paper_files/paper/2025/hash/f062da1973ac9ac61fc6d44dd7fa309f-Abstract-Conference.html","论文")</x:f>
        <x:v>HYPERLINK is not implemented. linkLocation=https://proceedings.neurips.cc/paper_files/paper/2025/hash/f062da1973ac9ac61fc6d44dd7fa309f-Abstract-Conference.html, friendlyName=论文</x:v>
      </x:c>
      <x:c r="L62" t="e">
        <x:f>HYPERLINK("https://arxiv.org/abs/2502.02175","arXiv")</x:f>
        <x:v>HYPERLINK is not implemented. linkLocation=https://arxiv.org/abs/2502.02175, friendlyName=arXiv</x:v>
      </x:c>
      <x:c r="M62" t="e">
        <x:f>HYPERLINK("https://vla-cache.github.io/","Project")</x:f>
        <x:v>HYPERLINK is not implemented. linkLocation=https://vla-cache.github.io/, friendlyName=Project</x:v>
      </x:c>
      <x:c r="N62" t="e">
        <x:f>HYPERLINK("https://github.com/siyuhsu/vla-cache","GitHub")</x:f>
        <x:v>HYPERLINK is not implemented. linkLocation=https://github.com/siyuhsu/vla-cache, friendlyName=GitHub</x:v>
      </x:c>
      <x:c r="O62" t="str">
        <x:v>Released</x:v>
      </x:c>
      <x:c r="P62" t="str">
        <x:v>README提供LIBERO部署评估说明；未确认自采真机数据是否全量公开</x:v>
      </x:c>
      <x:c r="Q62" t="str">
        <x:v>依赖OpenVLA/OpenVLA-OFT基座；README提供下载脚本（作者入口/说明；未验证权重文件可下载或可用性）</x:v>
      </x:c>
      <x:c r="R62" t="str">
        <x:v>Unknown</x:v>
      </x:c>
      <x:c r="S62" t="str">
        <x:v>Single Arm / Parallel Gripper</x:v>
      </x:c>
      <x:c r="T62" t="str">
        <x:v>Cross-Venue official proceedings audit</x:v>
      </x:c>
      <x:c r="U62" t="str">
        <x:v>P1</x:v>
      </x:c>
      <x:c r="V62" t="str">
        <x:v>已查patch相似度、层级缓存调度及模型实现；方法免训练。训练代码主要继承基座，不能当作额外方法训练贡献。 Static checks only; no cloning/running or download.</x:v>
      </x:c>
      <x:c r="W62" t="str">
        <x:v>Official Verified</x:v>
      </x:c>
      <x:c r="X62" t="str">
        <x:v>2026-09-18</x:v>
      </x:c>
      <x:c r="Y62" t="str">
        <x:v>VLA</x:v>
      </x:c>
      <x:c r="Z62" t="str">
        <x:v>02_Papers/01_VLA/VLA-Cache.md</x:v>
      </x:c>
      <x:c r="AA62" t="n">
        <x:v>9</x:v>
      </x:c>
      <x:c r="AB62" t="str">
        <x:v>OpenAlex</x:v>
      </x:c>
      <x:c r="AC62" t="str">
        <x:v>2026-09-25</x:v>
      </x:c>
      <x:c r="AD62" t="str">
        <x:v>VLA 对相邻帧重复视觉区域重复计算，增加闭环推理延迟。</x:v>
      </x:c>
      <x:c r="AE62" t="str">
        <x:v>单帧 token pruning 可能移除外观静态但对动作关键的区域。</x:v>
      </x:c>
      <x:c r="AF62" t="str">
        <x:v>跨帧复用静态视觉 token 的 KV 表示；attention 排除任务相关区域，并按层 entropy 自适应复用比例。</x:v>
      </x:c>
      <x:c r="AG62" t="str">
        <x:v>- LIBERO：沿用 OpenVLA/OpenVLA-OFT 标准设置，Spatial、Object、Goal、Long 四个任务套件，每套 10 个子任务。</x:v>
      </x:c>
      <x:c r="AH62" t="str">
        <x:v>LIBERO：OpenVLA、SparseVLM、FastV、OpenVLA-OFT；SIMPLER：CogACT；真机：OpenVLA。</x:v>
      </x:c>
      <x:c r="AI62" t="str">
        <x:v>提出免训练的跨帧视觉 token KV 缓存、任务相关区域过滤与层级自适应复用。</x:v>
      </x:c>
      <x:c r="AJ62" t="str">
        <x:v>在 LIBERO、SIMPLER 与 Kinova Jaco2 真机上测试；基座含 OpenVLA、OpenVLA-OFT、CogACT。</x:v>
      </x:c>
      <x:c r="AK62" t="str">
        <x:v>LIBERO 上 OpenVLA 延迟从 51.91 ms 降至 31.83 ms，平均成功率从 75.0% 变为 74.7%；真机平均成功率为 82.1%→84.6%。</x:v>
      </x:c>
      <x:c r="AL62" t="str">
        <x:v>动态区域增多时缓存收益降低；主要测试 LLaMA2 decoder，对其他 backbone 的适用性待验证。</x:v>
      </x:c>
      <x:c r="AM62" t="str">
        <x:v>双臂动态视角、不同 VLA backbone 与缓存错误归因仍待验证。</x:v>
      </x:c>
      <x:c r="AN62" t="str">
        <x:v>可作为本地 VLA 在线加速候选；需测双臂相机和腕部视角下的时延、频率与成功率。</x:v>
      </x:c>
      <x:c r="AO62" t="str">
        <x:v>VLA; Inference Acceleration / Token Caching</x:v>
      </x:c>
      <x:c r="AP62" t="str">
        <x:v>A</x:v>
      </x:c>
      <x:c r="AQ62" t="str">
        <x:v>对双臂交叉、目标遮挡或动作不确定时触发局部/全量重编码，测试效率和成功率折衷。</x:v>
      </x:c>
      <x:c r="AR62" t="str">
        <x:v>静态 token 直接复用使 SR 84.4→74.2%；attention 过滤恢复至82.6%，layer-adaptive达83.8%（Table 1）。</x:v>
      </x:c>
      <x:c r="AS62" t="str">
        <x:v>背景动态使基线 PickPot SR 95→80%；VLA-Cache 在动态条件保持80%且降低FLOPs/延迟；PickPot 真机SR 95→90%（Table 5,7）。</x:v>
      </x:c>
      <x:c r="AT62" t="str">
        <x:v>https://openalex.org/W7196930033</x:v>
      </x:c>
      <x:c r="AU62" t="str">
        <x:v>NeurIPS 正式论文页；arXiv PDF §1–6、Appendix A–F、Tables 1–5、7–11；NeurIPS Supplemental zip 与作者 GitHub。</x:v>
      </x:c>
      <x:c r="AV62" t="str">
        <x:v>A-Upgraded</x:v>
      </x:c>
      <x:c r="AW62" t="str">
        <x:v>NeurIPS 官方补充包及 arXiv 附录已检查。</x:v>
      </x:c>
      <x:c r="AX62" t="str">
        <x:v>Partial</x:v>
      </x:c>
      <x:c r="AY62" t="str">
        <x:v>Unknown</x:v>
      </x:c>
      <x:c r="AZ62" t="e">
        <x:f>HYPERLINK("https://arxiv.org/pdf/2502.02175","论文")</x:f>
        <x:v>HYPERLINK is not implemented. linkLocation=https://arxiv.org/pdf/2502.02175, friendlyName=论文</x:v>
      </x:c>
      <x:c r="BA62" t="str">
        <x:v>Yes</x:v>
      </x:c>
      <x:c r="BB62" t="str">
        <x:v>Yes</x:v>
      </x:c>
      <x:c r="BC62" t="str">
        <x:v>Yes</x:v>
      </x:c>
      <x:c r="BD62" t="str">
        <x:v>Yes</x:v>
      </x:c>
      <x:c r="BE62" t="str">
        <x:v>Yes</x:v>
      </x:c>
      <x:c r="BF62" t="str">
        <x:v>Yes</x:v>
      </x:c>
      <x:c r="BG62" t="str">
        <x:v>Yes</x:v>
      </x:c>
      <x:c r="BH62" t="str">
        <x:v>Matched</x:v>
      </x:c>
      <x:c r="BI62" t="str">
        <x:v>Verified official NeurIPS DOI</x:v>
      </x:c>
      <x:c r="BJ62" t="str">
        <x:v>Not Found After Verification</x:v>
      </x:c>
      <x:c r="BK62" t="str">
        <x:v>Completed-A</x:v>
      </x:c>
      <x:c r="BL62" t="str">
        <x:v>true</x:v>
      </x:c>
      <x:c r="BM62" t="str">
        <x:v>Completed-A</x:v>
      </x:c>
      <x:c r="BN62" t="str">
        <x:v>研究问题：VLA 在闭环操作过程中连续接收相邻视觉帧，而画面中大量背景和静态区域变化很小。现有模型每个时刻重新计算视觉 token，造成推理开销并限制实时控制频率。；之前方法的问题：通用 token pruning / merging 方法通常在单帧内删减或合并 token；若不考虑视觉区域对当前任务的重要性，可能删掉外观变化很小、但对夹爪或目标物判断至关重要的区域。作者在 LIBERO Spatial 上展示，仅依据静态视觉相似度进行缓存会显著降低成功率。；核心思路：VLA-Cache 是免训练的推理加速方法：识别相邻帧间稳定的视觉 token，跨帧复用其 Key-Value（KV）表示；再利用 decoder attention 排除任务相关区域，并根据各层 attention entropy 自适应调整缓存比例。；输入：- 当前与上一时刻的 RGB 视觉观测，用于计算图像 patch 相似度。；输出与动作：保持原 VLA 基座动作输出；VLA-Cache 只改变推理中的视觉 token 计算与 KV 复用。；数据集与评测基准：LIBERO、SIMPLER，以及 Kinova Jaco2 四项真机操作任务。；主要结果：LIBERO 上 OpenVLA 延迟从 51.91 ms 降至 31.83 ms，平均成功率从 75.0% 变为 74.7%；真机平均成功率为 82.1%→84.6%。；与当前项目的关系：当前项目可将 VLA-Cache 作为已训练 VLA 的在线推理优化候选，重点测试双臂相机画面、腕部视角变化和机械臂运动导致的动态视觉区域，记录延迟、控制频率和任务成功率。原论文没有双臂实验，部署收益需在本项目的机器人和控制接口上重新验证。</x:v>
      </x:c>
      <x:c r="BO62" t="str">
        <x:v>简单缓存可能损害变化场景中的目标识别或动作精度。</x:v>
      </x:c>
      <x:c r="BP62" t="str">
        <x:v>VLA-Cache 无需重新训练，按状态自适应缓存并复用部分推理结果。</x:v>
      </x:c>
      <x:c r="BQ62"/>
      <x:c r="BR62" t="str">
        <x:v>作者报告最高约 1.7 倍推理加速；具体成功率影响需按任务核对。</x:v>
      </x:c>
      <x:c r="BS62" t="str">
        <x:v>提供部署已有 VLA 时降低延迟的方法。</x:v>
      </x:c>
      <x:c r="BT62" t="str">
        <x:v>场景突变或接触后状态变化时，缓存复用可能延迟纠错。</x:v>
      </x:c>
      <x:c r="BU62"/>
      <x:c r="BV62" t="str">
        <x:v>High：双臂实时控制需要低延迟，但必须监测缓存失效。</x:v>
      </x:c>
      <x:c r="BW62" t="str">
        <x:v>官方摘要/论文页; https://arxiv.org/html/2502.02175; 核验于 2026-09-23. 仅为摘要级速读；原 Evidence Quality 不变。 - 核验层级：摘要有可追溯来源</x:v>
      </x:c>
      <x:c r="BX62" t="str">
        <x:v>doi</x:v>
      </x:c>
      <x:c r="BY62" t="str">
        <x:v>3</x:v>
      </x:c>
      <x:c r="BZ62" t="str">
        <x:v>1</x:v>
      </x:c>
    </x:row>
    <x:row r="63" ht="58" customHeight="1">
      <x:c r="A63" t="str">
        <x:v>D062</x:v>
      </x:c>
      <x:c r="B63" t="str">
        <x:v>DiffusionVLA: Scaling Robot Foundation Models via Unified Diffusion and Autoregression</x:v>
      </x:c>
      <x:c r="C63" t="n">
        <x:v>2025</x:v>
      </x:c>
      <x:c r="D63" t="str">
        <x:v>Method Paper</x:v>
      </x:c>
      <x:c r="E63" t="str">
        <x:v>ICML</x:v>
      </x:c>
      <x:c r="F63" t="str">
        <x:v>正式主会论文：官方论文集核实</x:v>
      </x:c>
      <x:c r="G63" t="str">
        <x:v>A (CCF 7th edition; venue category not independently extracted from official PDF)</x:v>
      </x:c>
      <x:c r="H63" t="str">
        <x:v>VLA / Robot Foundation Models</x:v>
      </x:c>
      <x:c r="I63" t="str">
        <x:v>Autoregressive Reasoning / Diffusion</x:v>
      </x:c>
      <x:c r="J63" t="str">
        <x:v>VLA; Autoregressive Reasoning / Diffusion</x:v>
      </x:c>
      <x:c r="K63" t="e">
        <x:f>HYPERLINK("https://proceedings.mlr.press/v267/wen25g.html","论文")</x:f>
        <x:v>HYPERLINK is not implemented. linkLocation=https://proceedings.mlr.press/v267/wen25g.html, friendlyName=论文</x:v>
      </x:c>
      <x:c r="L63"/>
      <x:c r="M63" t="e">
        <x:f>HYPERLINK("https://diffusion-vla.github.io/","Project")</x:f>
        <x:v>HYPERLINK is not implemented. linkLocation=https://diffusion-vla.github.io/, friendlyName=Project</x:v>
      </x:c>
      <x:c r="N63" t="e">
        <x:f>HYPERLINK("https://github.com/juruobenruo/DexVLA","GitHub")</x:f>
        <x:v>HYPERLINK is not implemented. linkLocation=https://github.com/juruobenruo/DexVLA, friendlyName=GitHub</x:v>
      </x:c>
      <x:c r="O63" t="str">
        <x:v>Partial</x:v>
      </x:c>
      <x:c r="P63" t="str">
        <x:v>作者提供DexVLA示例数据：https://huggingface.co/datasets/lesjie/dexvla_example_data；不是原论文全部实验数据</x:v>
      </x:c>
      <x:c r="Q63" t="str">
        <x:v>公开ScaleDP权重不等于DiVLA论文完整权重；待核实（作者入口/说明；未验证权重文件可下载或可用性）</x:v>
      </x:c>
      <x:c r="R63" t="str">
        <x:v>Unknown</x:v>
      </x:c>
      <x:c r="S63" t="str">
        <x:v>Single Arm / Parallel Gripper</x:v>
      </x:c>
      <x:c r="T63" t="str">
        <x:v>Cross-Venue official proceedings audit</x:v>
      </x:c>
      <x:c r="U63" t="str">
        <x:v>P1</x:v>
      </x:c>
      <x:c r="V63" t="str">
        <x:v>官网明确指向后续DexVLA仓库并称可训练DiVLA；实际存在train_divla.sh、UNet策略和评估。原论文模型/完整实验对应关系未核实；Partial可运行条件待复核，不准入核心。 Static checks only; no cloning/running or download.</x:v>
      </x:c>
      <x:c r="W63" t="str">
        <x:v>Official Verified</x:v>
      </x:c>
      <x:c r="X63" t="str">
        <x:v>2026-09-18</x:v>
      </x:c>
      <x:c r="Y63" t="str">
        <x:v>VLA</x:v>
      </x:c>
      <x:c r="Z63" t="str">
        <x:v>02_Papers/01_VLA/DiffusionVLA.md</x:v>
      </x:c>
      <x:c r="AA63" t="str">
        <x:v>—</x:v>
      </x:c>
      <x:c r="AB63" t="str">
        <x:v>未可靠匹配</x:v>
      </x:c>
      <x:c r="AC63" t="str">
        <x:v>2026-09-25</x:v>
      </x:c>
      <x:c r="AD63" t="str">
        <x:v>自回归 VLA 的动作精度与鲁棒性可能不足，而独立的扩散策略又缺少语言推理。</x:v>
      </x:c>
      <x:c r="AE63" t="str">
        <x:v>Unknown / Needs Full-Paper Verification</x:v>
      </x:c>
      <x:c r="AF63" t="str">
        <x:v>以 `VLA; Autoregressive Reasoning / Diffusion` 为主要方法/能力线索；更细的结构和消融结论待正文核验。</x:v>
      </x:c>
      <x:c r="AG63" t="str">
        <x:v>作者提供 DexVLA 示例数据，但该样例不等于论文全部训练和评测数据。</x:v>
      </x:c>
      <x:c r="AH63" t="str">
        <x:v>Unknown / Needs Full-Paper Verification</x:v>
      </x:c>
      <x:c r="AI63" t="str">
        <x:v>- DiffusionVLA: Scaling Robot Foundation Models via Unified Diffusion and AutoregressionJunjie Wen, Yichen</x:v>
      </x:c>
      <x:c r="AJ63" t="str">
        <x:v>Real Robot 字段为 `Unknown`；Dataset、Benchmark、Robot Platform 中的 Unknown 继续保留，不从题名推断。</x:v>
      </x:c>
      <x:c r="AK63" t="str">
        <x:v>Unknown / Needs Full-Paper Verification</x:v>
      </x:c>
      <x:c r="AL63" t="str">
        <x:v>Unknown / Needs Full-Paper Verification</x:v>
      </x:c>
      <x:c r="AM63" t="str">
        <x:v>Library Analysis / Research Note: Unknown / Needs Full-Paper Verification</x:v>
      </x:c>
      <x:c r="AN63" t="str">
        <x:v>** 可用于 VLA/机器人基础模型路线对比；应重点核对动作头、训练数据与真机部署成本是否适合当前平台。</x:v>
      </x:c>
      <x:c r="AO63" t="str">
        <x:v>VLA; Autoregressive Reasoning / Diffusion</x:v>
      </x:c>
      <x:c r="AP63" t="str">
        <x:v>A</x:v>
      </x:c>
      <x:c r="AQ63"/>
      <x:c r="AR63" t="str">
        <x:v>Unknown / Not Explicitly Reported in the currently accessible sources.</x:v>
      </x:c>
      <x:c r="AS63" t="str">
        <x:v>Unknown / Not Explicitly Reported in the currently accessible sources.</x:v>
      </x:c>
      <x:c r="AT63" t="str">
        <x:v>—</x:v>
      </x:c>
      <x:c r="AU63" t="str">
        <x:v>https://proceedings.mlr.press/v267/wen25g.html；官方摘要/论文集元数据</x:v>
      </x:c>
      <x:c r="AV63" t="str">
        <x:v>A-Upgraded</x:v>
      </x:c>
      <x:c r="AW63" t="str">
        <x:v>Not Found</x:v>
      </x:c>
      <x:c r="AX63" t="str">
        <x:v>Partial</x:v>
      </x:c>
      <x:c r="AY63" t="str">
        <x:v>Unknown</x:v>
      </x:c>
      <x:c r="AZ63" t="str">
        <x:v>https://raw.githubusercontent.com/mlresearch/v267/main/assets/wen25g/wen25g.pdf</x:v>
      </x:c>
      <x:c r="BA63" t="str">
        <x:v>No</x:v>
      </x:c>
      <x:c r="BB63" t="str">
        <x:v>No</x:v>
      </x:c>
      <x:c r="BC63" t="str">
        <x:v>No</x:v>
      </x:c>
      <x:c r="BD63" t="str">
        <x:v>No</x:v>
      </x:c>
      <x:c r="BE63" t="str">
        <x:v>No</x:v>
      </x:c>
      <x:c r="BF63" t="str">
        <x:v>No</x:v>
      </x:c>
      <x:c r="BG63" t="str">
        <x:v>No</x:v>
      </x:c>
      <x:c r="BH63" t="str">
        <x:v>Unresolved</x:v>
      </x:c>
      <x:c r="BI63" t="str">
        <x:v>Not Found After Verification</x:v>
      </x:c>
      <x:c r="BJ63" t="str">
        <x:v>Not Found After Verification</x:v>
      </x:c>
      <x:c r="BK63" t="str">
        <x:v>Audit logged - deep extraction pending</x:v>
      </x:c>
      <x:c r="BL63" t="str">
        <x:v>false</x:v>
      </x:c>
      <x:c r="BM63"/>
      <x:c r="BN63" t="str">
        <x:v>研究问题：自回归 VLA 的动作精度与鲁棒性可能不足，而独立的扩散策略又缺少语言推理。；之前方法的问题：纯自回归动作预测的精度可能不足；只做扩散控制又较难利用语言推理。；核心思路：DiffusionVLA 将自回归推理与扩散式动作生成结合，尝试兼顾语义理解和连续控制。；数据集与评测基准：作者提供 DexVLA 示例数据，但该样例不等于论文全部训练和评测数据。；为什么重要：为双臂 VLA 动作头选择提供“推理 + 生成式控制”的比较对象。；与当前项目的关系：High：有助于研究语言条件操作与 VLA 设计。；主要局限：实验覆盖的任务与本体有限；逐任务失败次数未从已访问页面完整提取。</x:v>
      </x:c>
      <x:c r="BO63" t="str">
        <x:v>纯自回归动作预测的精度可能不足；只做扩散控制又较难利用语言推理。</x:v>
      </x:c>
      <x:c r="BP63" t="str">
        <x:v>DiffusionVLA 将自回归推理与扩散式动作生成结合，尝试兼顾语义理解和连续控制。</x:v>
      </x:c>
      <x:c r="BQ63"/>
      <x:c r="BR63" t="str">
        <x:v>卡片记录对 102 个未见抓取物体达到 63.7% 准确率；DiVLA-2B 在单张 A6000 上为 82 Hz（摘要、Sec. 4.5）。</x:v>
      </x:c>
      <x:c r="BS63" t="str">
        <x:v>为双臂 VLA 动作头选择提供“推理 + 生成式控制”的比较对象。</x:v>
      </x:c>
      <x:c r="BT63" t="str">
        <x:v>实验覆盖的任务与本体有限；逐任务失败次数未从已访问页面完整提取。</x:v>
      </x:c>
      <x:c r="BU63"/>
      <x:c r="BV63" t="str">
        <x:v>High：有助于研究语言条件操作与 VLA 设计。</x:v>
      </x:c>
      <x:c r="BW63" t="str">
        <x:v>官方摘要/论文页; https://proceedings.mlr.press/v267/wen25g.html; 核验于 2026-09-23. 仅为摘要级速读；原 Evidence Quality 不变。 - 核验层级：摘要有可追溯来源</x:v>
      </x:c>
      <x:c r="BX63" t="str">
        <x:v>Unresolved; no reliable citation service count</x:v>
      </x:c>
      <x:c r="BY63" t="n">
        <x:v>8</x:v>
      </x:c>
      <x:c r="BZ63" t="n">
        <x:v>0</x:v>
      </x:c>
    </x:row>
    <x:row r="64" ht="58" customHeight="1">
      <x:c r="A64" t="str">
        <x:v>D063</x:v>
      </x:c>
      <x:c r="B64" t="str">
        <x:v>3D-VLA: A 3D Vision-Language-Action Generative World Model</x:v>
      </x:c>
      <x:c r="C64" t="n">
        <x:v>2024</x:v>
      </x:c>
      <x:c r="D64" t="str">
        <x:v>Method Paper</x:v>
      </x:c>
      <x:c r="E64" t="str">
        <x:v>ICML</x:v>
      </x:c>
      <x:c r="F64" t="str">
        <x:v>正式会议论文</x:v>
      </x:c>
      <x:c r="G64" t="str">
        <x:v>A</x:v>
      </x:c>
      <x:c r="H64" t="str">
        <x:v>VLA / Robot Foundation Models; Robot Manipulation / IL / Diffusion</x:v>
      </x:c>
      <x:c r="I64" t="str">
        <x:v>World Model / 3D Generation</x:v>
      </x:c>
      <x:c r="J64" t="str">
        <x:v>VLA; World Model / 3D Generation</x:v>
      </x:c>
      <x:c r="K64" t="e">
        <x:f>HYPERLINK("https://proceedings.mlr.press/v235/zhen24a.html","论文")</x:f>
        <x:v>HYPERLINK is not implemented. linkLocation=https://proceedings.mlr.press/v235/zhen24a.html, friendlyName=论文</x:v>
      </x:c>
      <x:c r="L64" t="e">
        <x:f>HYPERLINK("https://arxiv.org/abs/2403.09631","arXiv")</x:f>
        <x:v>HYPERLINK is not implemented. linkLocation=https://arxiv.org/abs/2403.09631, friendlyName=arXiv</x:v>
      </x:c>
      <x:c r="M64" t="e">
        <x:f>HYPERLINK("https://vis-www.cs.umass.edu/3dvla/","Project")</x:f>
        <x:v>HYPERLINK is not implemented. linkLocation=https://vis-www.cs.umass.edu/3dvla/, friendlyName=Project</x:v>
      </x:c>
      <x:c r="N64" t="e">
        <x:f>HYPERLINK("https://github.com/UMass-Embodied-AGI/3D-VLA","GitHub")</x:f>
        <x:v>HYPERLINK is not implemented. linkLocation=https://github.com/UMass-Embodied-AGI/3D-VLA, friendlyName=GitHub</x:v>
      </x:c>
      <x:c r="O64" t="str">
        <x:v>Partial</x:v>
      </x:c>
      <x:c r="P64" t="str">
        <x:v>README及model card提供OpenX来源与数据说明；完整处理后数据待核实</x:v>
      </x:c>
      <x:c r="Q64" t="str">
        <x:v>https://huggingface.co/anyezhy/3dvla-diffusion ; https://huggingface.co/anyezhy/3dvla-diffusion-pointcloud（作者入口/说明；未验证权重文件可下载或可用性）</x:v>
      </x:c>
      <x:c r="R64" t="str">
        <x:v>Unknown</x:v>
      </x:c>
      <x:c r="S64" t="str">
        <x:v>Single Arm / Parallel Gripper</x:v>
      </x:c>
      <x:c r="T64" t="str">
        <x:v>Cross-Venue official proceedings audit</x:v>
      </x:c>
      <x:c r="U64" t="str">
        <x:v>P1</x:v>
      </x:c>
      <x:c r="V64" t="str">
        <x:v>公开目标图像/点云扩散训练与推理、LLM训练实现；未确认完整机器人策略评测链，保守标Partial，端到端可运行性待复核。 Static checks only; no cloning/running or download.</x:v>
      </x:c>
      <x:c r="W64" t="str">
        <x:v>Official Verified</x:v>
      </x:c>
      <x:c r="X64" t="str">
        <x:v>2026-09-18</x:v>
      </x:c>
      <x:c r="Y64" t="str">
        <x:v>VLA</x:v>
      </x:c>
      <x:c r="Z64" t="str">
        <x:v>02_Papers/01_VLA/3D-VLA.md</x:v>
      </x:c>
      <x:c r="AA64" t="n">
        <x:v>14</x:v>
      </x:c>
      <x:c r="AB64" t="str">
        <x:v>OpenAlex</x:v>
      </x:c>
      <x:c r="AC64" t="str">
        <x:v>2026-09-25</x:v>
      </x:c>
      <x:c r="AD64" t="str">
        <x:v>2D VLA 对三维空间关系、目标物体位置和动作后的目标状态建模不足。</x:v>
      </x:c>
      <x:c r="AE64" t="str">
        <x:v>直接从二维观测映射动作，难以显式利用三维关系并预测可供规划使用的目标状态。</x:v>
      </x:c>
      <x:c r="AF64" t="str">
        <x:v>统一 3D 场景特征、目标状态生成与动作 token 的语言模型框架。</x:v>
      </x:c>
      <x:c r="AG64" t="str">
        <x:v>- 作者从 Open X-Embodiment 中选取 12 个机器人数据集，并结合 Dobb-E、RH20T 的深度信息来源；还使用 RLBench、CALVIN 仿真数据，以及 Epic-Kitchens、HOI4D 人类活动数据。具体集合和用途见 §3.1、Appendix Table 8。</x:v>
      </x:c>
      <x:c r="AH64" t="str">
        <x:v>推理：3D-LLM、BLIP2、OpenFlamingo、LLaVA；定位：Kosmos-2、CoVLM；目标生成：Instruct-P2P、SuSIE、NeXT-GPT、Point-E；规划：LanCon-Learn、MCIL。</x:v>
      </x:c>
      <x:c r="AI64" t="str">
        <x:v>统一处理三维场景理解、目标图像/点云生成与机器人动作 token；构建大规模 3D 具身指令数据。</x:v>
      </x:c>
      <x:c r="AJ64" t="str">
        <x:v>具身问答/描述、3D 定位、目标图像与点云生成，以及 RLBench、CALVIN 仿真规划；未核实真机或双臂实验。</x:v>
      </x:c>
      <x:c r="AK64" t="str">
        <x:v>3D 定位 IoU 29.33；目标点云 P-FID/Chamfer-L1=4.796/0.139；CALVIN 五任务完成率为 0（Table 2,4,6）。</x:v>
      </x:c>
      <x:c r="AL64" t="str">
        <x:v>小物体精细操作受限；生成目标可 hallucinate；深度尺度和点云噪声影响真实场景表现。</x:v>
      </x:c>
      <x:c r="AM64" t="str">
        <x:v>目标一致性、长时程执行、精细动作量化和真实 3D 感知仍待解决。</x:v>
      </x:c>
      <x:c r="AN64" t="str">
        <x:v>可用于双臂普通夹爪项目的目标生成和 3D grounding 基线设计；论文未验证双臂或真机，需实测。</x:v>
      </x:c>
      <x:c r="AO64" t="str">
        <x:v>VLA; World Model / 3D Generation</x:v>
      </x:c>
      <x:c r="AP64" t="str">
        <x:v>A</x:v>
      </x:c>
      <x:c r="AQ64" t="str">
        <x:v>在规划前检查生成目标与当前场景/任务的一致性，评估能否减少目标 hallucination 引发的执行错误；属于待检索研究问题。</x:v>
      </x:c>
      <x:c r="AR64" t="str">
        <x:v>去掉预测 bounding box 后，目标图像指标混合变化、点云指标变差；去掉 Goal 后 RLBench 四任务由 68/80/40/28 降至 58/68/34/24。Tables 3–5。</x:v>
      </x:c>
      <x:c r="AS64" t="str">
        <x:v>§6：目标生成可能改变纹理/形状、令物体消失、预测不相关的未来或状态无变化；小物体精细操作失败。</x:v>
      </x:c>
      <x:c r="AT64" t="str">
        <x:v>https://openalex.org/W4392886475</x:v>
      </x:c>
      <x:c r="AU64" t="str">
        <x:v>PMLR 官方 PDF：§3.1–3.3、§4.1–4.3、§5.1–5.3、§6–7；Figures 2–3、5–6；Tables 1–6、Appendix Tables 7–9。https://raw.githubusercontent.com/mlresearch/v235/main/assets/zhen24a/zhen24a.pdf</x:v>
      </x:c>
      <x:c r="AV64" t="str">
        <x:v>A-Upgraded</x:v>
      </x:c>
      <x:c r="AW64" t="str">
        <x:v>官方 PDF 内 Appendix A–D 已检查；未找到独立补充包。</x:v>
      </x:c>
      <x:c r="AX64" t="str">
        <x:v>Partial</x:v>
      </x:c>
      <x:c r="AY64" t="str">
        <x:v>Unknown</x:v>
      </x:c>
      <x:c r="AZ64" t="e">
        <x:f>HYPERLINK("https://raw.githubusercontent.com/mlresearch/v235/main/assets/zhen24a/zhen24a.pdf","论文")</x:f>
        <x:v>HYPERLINK is not implemented. linkLocation=https://raw.githubusercontent.com/mlresearch/v235/main/assets/zhen24a/zhen24a.pdf, friendlyName=论文</x:v>
      </x:c>
      <x:c r="BA64" t="str">
        <x:v>Yes</x:v>
      </x:c>
      <x:c r="BB64" t="str">
        <x:v>Yes</x:v>
      </x:c>
      <x:c r="BC64" t="str">
        <x:v>Yes</x:v>
      </x:c>
      <x:c r="BD64" t="str">
        <x:v>Yes</x:v>
      </x:c>
      <x:c r="BE64" t="str">
        <x:v>Yes</x:v>
      </x:c>
      <x:c r="BF64" t="str">
        <x:v>Yes</x:v>
      </x:c>
      <x:c r="BG64" t="str">
        <x:v>Yes</x:v>
      </x:c>
      <x:c r="BH64" t="str">
        <x:v>Matched</x:v>
      </x:c>
      <x:c r="BI64" t="str">
        <x:v>arXiv DOI verified; proceedings DOI not located</x:v>
      </x:c>
      <x:c r="BJ64" t="str">
        <x:v>Not Found After Verification</x:v>
      </x:c>
      <x:c r="BK64" t="str">
        <x:v>Completed-A</x:v>
      </x:c>
      <x:c r="BL64" t="str">
        <x:v>true</x:v>
      </x:c>
      <x:c r="BM64" t="str">
        <x:v>Completed-A</x:v>
      </x:c>
      <x:c r="BN64" t="str">
        <x:v>研究问题：不少 VLA 方法主要从视觉观测直接预测动作，对场景三维关系、被操作物体的位置以及动作执行后的目标状态建模不足。作者研究如何让一个模型同时处理 3D 场景理解、语言指令、目标状态生成和机器人动作规划。；之前方法的问题：作者指出，2D 视觉特征难以充分表达空间关系；已有 3D 多模态语言模型的预训练目标和数据未必与具身任务对齐。因此本文没有直接加载预训练 3D-LLM 权重，而是采用 BLIP2-FlanT5XL 作为语言模型骨干，并训练具身相关表示和输出。；核心思路：把 3D 场景特征、物体与位置标记、目标图像/点云生成，以及离散机器人动作 token 放进统一的语言模型流程。模型可以先根据任务想象目标状态，再把该状态作为动作规划的条件。；输入：- 视觉：单视角或多视角 RGB 图像；构造 3D 场景输入时使用深度或点云信息。；与当前项目的关系：本文与 VLA grounding、三维目标表示和目标状态生成高度相关。对当前双臂普通夹爪项目，可借鉴“先预测目标状态、再条件化动作”的评测思路；但论文所查实验没有给出双臂普通夹爪或真机验证，迁移性仍需独立实验确认。</x:v>
      </x:c>
      <x:c r="BO64" t="str">
        <x:v>现有 VLA 对三维关系和环境动态的建模不足，难以把动作预测与未来场景变化结合。</x:v>
      </x:c>
      <x:c r="BP64" t="str">
        <x:v>3D-VLA 把三维场景表示、动作 token 与生成未来图像/点云的模型结合，用于语言条件的操作规划。</x:v>
      </x:c>
      <x:c r="BQ64" t="str">
        <x:v>Official PMLR abstract only states held-in dataset improvement; named baselines and metrics require PDF extraction.</x:v>
      </x:c>
      <x:c r="BR64" t="str">
        <x:v>官方 PMLR 页面报告了推理、生成和规划能力的提升；摘要没有足以安全复述的统一量化值。</x:v>
      </x:c>
      <x:c r="BS64" t="str">
        <x:v>把未来场景预测引入 VLA，是研究三维 Grounding 和长任务规划的参考。</x:v>
      </x:c>
      <x:c r="BT64" t="str">
        <x:v>当前摘要不足以核实完整 benchmark 表、真机覆盖范围和失败案例，不能据此宣称全面泛化。</x:v>
      </x:c>
      <x:c r="BU64" t="str">
        <x:v>Library Analysis: closed-loop robustness and real dual-arm execution of generated 3D plans remain open.</x:v>
      </x:c>
      <x:c r="BV64" t="str">
        <x:v>High：有助于研究语言条件操作与 VLA 设计。</x:v>
      </x:c>
      <x:c r="BW64" t="str">
        <x:v>官方摘要/论文页; https://proceedings.mlr.press/v235/zhen24a.html; 核验于 2026-09-23. 仅为摘要级速读；原 Evidence Quality 不变。 - 核验层级：摘要有可追溯来源</x:v>
      </x:c>
      <x:c r="BX64" t="str">
        <x:v>doi</x:v>
      </x:c>
      <x:c r="BY64" t="str">
        <x:v>1</x:v>
      </x:c>
      <x:c r="BZ64" t="str">
        <x:v>9</x:v>
      </x:c>
    </x:row>
    <x:row r="65" ht="58" customHeight="1">
      <x:c r="A65" t="str">
        <x:v>D064</x:v>
      </x:c>
      <x:c r="B65" t="str">
        <x:v>RoboMamba: Efficient Vision-Language-Action Model for Robotic Reasoning and Manipulation</x:v>
      </x:c>
      <x:c r="C65" t="n">
        <x:v>2024</x:v>
      </x:c>
      <x:c r="D65" t="str">
        <x:v>Method Paper</x:v>
      </x:c>
      <x:c r="E65" t="str">
        <x:v>NeurIPS</x:v>
      </x:c>
      <x:c r="F65" t="str">
        <x:v>正式主会论文：官方论文集核实</x:v>
      </x:c>
      <x:c r="G65" t="str">
        <x:v>A (CCF 7th edition; venue category not independently extracted from official PDF)</x:v>
      </x:c>
      <x:c r="H65" t="str">
        <x:v>VLA / Robot Foundation Models</x:v>
      </x:c>
      <x:c r="I65" t="str">
        <x:v>Efficient Model / Pose Prediction</x:v>
      </x:c>
      <x:c r="J65" t="str">
        <x:v>VLA; Efficient Model / Pose Prediction</x:v>
      </x:c>
      <x:c r="K65" t="e">
        <x:f>HYPERLINK("https://proceedings.neurips.cc/paper_files/paper/2024/hash/46a126492ea6fb87410e55a58df2e189-Abstract-Conference.html","论文")</x:f>
        <x:v>HYPERLINK is not implemented. linkLocation=https://proceedings.neurips.cc/paper_files/paper/2024/hash/46a126492ea6fb87410e55a58df2e189-Abstract-Conference.html, friendlyName=论文</x:v>
      </x:c>
      <x:c r="L65"/>
      <x:c r="M65" t="e">
        <x:f>HYPERLINK("https://sites.google.com/view/robomamba-web","Project")</x:f>
        <x:v>HYPERLINK is not implemented. linkLocation=https://sites.google.com/view/robomamba-web, friendlyName=Project</x:v>
      </x:c>
      <x:c r="N65" t="e">
        <x:f>HYPERLINK("https://github.com/lmzpai/roboMamba","GitHub")</x:f>
        <x:v>HYPERLINK is not implemented. linkLocation=https://github.com/lmzpai/roboMamba, friendlyName=GitHub</x:v>
      </x:c>
      <x:c r="O65" t="str">
        <x:v>Partial</x:v>
      </x:c>
      <x:c r="P65" t="str">
        <x:v>训练数据发布完整性未确认</x:v>
      </x:c>
      <x:c r="Q65" t="str">
        <x:v>test分支README提供百度网盘链接；未下载（作者入口/说明；未验证权重文件可下载或可用性）</x:v>
      </x:c>
      <x:c r="R65" t="str">
        <x:v>Unknown</x:v>
      </x:c>
      <x:c r="S65" t="str">
        <x:v>Single Arm / Parallel Gripper</x:v>
      </x:c>
      <x:c r="T65" t="str">
        <x:v>Cross-Venue official proceedings audit</x:v>
      </x:c>
      <x:c r="U65" t="str">
        <x:v>P1</x:v>
      </x:c>
      <x:c r="V65" t="str">
        <x:v>实际存在模型、src/test.py和src/script/test.sh；README要求邮件索取训练代码。test分支提供权重入口。未验证权重可下载/端到端运行，且项目页未查到直接GitHub出链，作者归属链须补核。 Static checks only; no cloning/running or download.</x:v>
      </x:c>
      <x:c r="W65" t="str">
        <x:v>Official Verified</x:v>
      </x:c>
      <x:c r="X65" t="str">
        <x:v>2026-09-18</x:v>
      </x:c>
      <x:c r="Y65" t="str">
        <x:v>VLA</x:v>
      </x:c>
      <x:c r="Z65" t="str">
        <x:v>02_Papers/01_VLA/RoboMamba.md</x:v>
      </x:c>
      <x:c r="AA65" t="n">
        <x:v>13</x:v>
      </x:c>
      <x:c r="AB65" t="str">
        <x:v>OpenAlex</x:v>
      </x:c>
      <x:c r="AC65" t="str">
        <x:v>2026-09-25</x:v>
      </x:c>
      <x:c r="AD65" t="str">
        <x:v>VLA 要兼顾视觉语言推理、动作预测和可承受的微调/推理成本。</x:v>
      </x:c>
      <x:c r="AE65" t="str">
        <x:v>Unknown / Needs Full-Paper Verification</x:v>
      </x:c>
      <x:c r="AF65" t="str">
        <x:v>以 `VLA; Efficient Model / Pose Prediction` 为主要方法/能力线索；更细的结构和消融结论待正文核验。</x:v>
      </x:c>
      <x:c r="AG65" t="str">
        <x:v>训练数据发布完整性尚未确认；仿真与真机评测设置需对照原文。</x:v>
      </x:c>
      <x:c r="AH65" t="str">
        <x:v>Unknown / Needs Full-Paper Verification</x:v>
      </x:c>
      <x:c r="AI65" t="str">
        <x:v>- Inspired by this, we introduce RoboMamba, an end-to-end robotic VLA model that leverages Mamba to deliver both robotic reasoning and action capabilities, while maintaining efficient fine-tuning and inference.</x:v>
      </x:c>
      <x:c r="AJ65" t="str">
        <x:v>Real Robot 字段为 `Unknown`；Dataset、Benchmark、Robot Platform 中的 Unknown 继续保留，不从题名推断。</x:v>
      </x:c>
      <x:c r="AK65" t="str">
        <x:v>论文报告在仿真与真机姿态预测任务中优于所比较 VLA，推理速度约为其 3 倍；具体比较对象见原文。</x:v>
      </x:c>
      <x:c r="AL65" t="str">
        <x:v>Unknown / Needs Full-Paper Verification</x:v>
      </x:c>
      <x:c r="AM65" t="str">
        <x:v>Library Analysis / Research Note: Unknown / Needs Full-Paper Verification</x:v>
      </x:c>
      <x:c r="AN65" t="str">
        <x:v>** 可用于 VLA/机器人基础模型路线对比；应重点核对动作头、训练数据与真机部署成本是否适合当前平台。</x:v>
      </x:c>
      <x:c r="AO65" t="str">
        <x:v>VLA; Efficient Model / Pose Prediction</x:v>
      </x:c>
      <x:c r="AP65" t="str">
        <x:v>B</x:v>
      </x:c>
      <x:c r="AQ65"/>
      <x:c r="AR65" t="str">
        <x:v>Unknown / Not Explicitly Reported in the currently accessible sources.</x:v>
      </x:c>
      <x:c r="AS65" t="str">
        <x:v>Unknown / Not Explicitly Reported in the currently accessible sources.</x:v>
      </x:c>
      <x:c r="AT65" t="str">
        <x:v>https://openalex.org/W4415797921</x:v>
      </x:c>
      <x:c r="AU65" t="str">
        <x:v>https://proceedings.neurips.cc/paper_files/paper/2024/hash/46a126492ea6fb87410e55a58df2e189-Abstract-Conference.html; https://sites.google.com/view/robomamba-web; https://github.com/lm</x:v>
      </x:c>
      <x:c r="AV65" t="str">
        <x:v>B-Fulltext-Unavailable</x:v>
      </x:c>
      <x:c r="AW65" t="str">
        <x:v>Not Found</x:v>
      </x:c>
      <x:c r="AX65" t="str">
        <x:v>Partial</x:v>
      </x:c>
      <x:c r="AY65" t="str">
        <x:v>Unknown</x:v>
      </x:c>
      <x:c r="AZ65" t="str">
        <x:v>https://proceedings.neurips.cc/paper_files/paper/2024/file/46a126492ea6fb87410e55a58df2e189-Paper-Conference.pdf</x:v>
      </x:c>
      <x:c r="BA65" t="str">
        <x:v>No</x:v>
      </x:c>
      <x:c r="BB65" t="str">
        <x:v>No</x:v>
      </x:c>
      <x:c r="BC65" t="str">
        <x:v>No</x:v>
      </x:c>
      <x:c r="BD65" t="str">
        <x:v>No</x:v>
      </x:c>
      <x:c r="BE65" t="str">
        <x:v>No</x:v>
      </x:c>
      <x:c r="BF65" t="str">
        <x:v>No</x:v>
      </x:c>
      <x:c r="BG65" t="str">
        <x:v>No</x:v>
      </x:c>
      <x:c r="BH65" t="str">
        <x:v>Matched</x:v>
      </x:c>
      <x:c r="BI65" t="str">
        <x:v>Not Found After Verification</x:v>
      </x:c>
      <x:c r="BJ65" t="str">
        <x:v>Not Found After Verification</x:v>
      </x:c>
      <x:c r="BK65" t="str">
        <x:v>Audit logged - deep extraction pending</x:v>
      </x:c>
      <x:c r="BL65" t="str">
        <x:v>false</x:v>
      </x:c>
      <x:c r="BM65"/>
      <x:c r="BN65" t="str">
        <x:v>研究问题：VLA 要兼顾视觉语言推理、动作预测和可承受的微调/推理成本。；之前方法的问题：已有 VLA 在复杂任务推理与微调计算成本之间存在权衡。；核心思路：RoboMamba 以 Mamba 架构建立端到端 VLA，重点降低适配和在线推理成本。；主要结果：论文报告在仿真与真机姿态预测任务中优于所比较 VLA，推理速度约为其 3 倍；具体比较对象见原文。；为什么重要：可作为部署时的速度—能力权衡参考。；与当前项目的关系：High：有助于研究语言条件操作与 VLA 设计。</x:v>
      </x:c>
      <x:c r="BO65" t="str">
        <x:v>已有 VLA 在复杂任务推理与微调计算成本之间存在权衡。</x:v>
      </x:c>
      <x:c r="BP65" t="str">
        <x:v>RoboMamba 以 Mamba 架构建立端到端 VLA，重点降低适配和在线推理成本。</x:v>
      </x:c>
      <x:c r="BQ65"/>
      <x:c r="BR65" t="str">
        <x:v>论文报告在仿真与真机姿态预测任务中优于所比较 VLA，推理速度约为其 3 倍；具体比较对象见原文。</x:v>
      </x:c>
      <x:c r="BS65" t="str">
        <x:v>可作为部署时的速度—能力权衡参考。</x:v>
      </x:c>
      <x:c r="BT65" t="str">
        <x:v>目前证据不足以证明其机器人和任务覆盖达到大型通用策略的广度。</x:v>
      </x:c>
      <x:c r="BU65"/>
      <x:c r="BV65" t="str">
        <x:v>High：有助于研究语言条件操作与 VLA 设计。</x:v>
      </x:c>
      <x:c r="BW65" t="str">
        <x:v>官方摘要/论文页; https://arxiv.org/html/2406.04339; 核验于 2026-09-23. 仅为摘要级速读；原 Evidence Quality 不变。 - 核验层级：摘要有可追溯来源</x:v>
      </x:c>
      <x:c r="BX65" t="str">
        <x:v>doi</x:v>
      </x:c>
      <x:c r="BY65" t="n">
        <x:v>3</x:v>
      </x:c>
      <x:c r="BZ65" t="n">
        <x:v>3</x:v>
      </x:c>
    </x:row>
    <x:row r="66" ht="58" customHeight="1">
      <x:c r="A66" t="str">
        <x:v>D065</x:v>
      </x:c>
      <x:c r="B66" t="str">
        <x:v>TraceVLA: Visual Trace Prompting Enhances Spatial-Temporal Awareness for Generalist Robotic Policies</x:v>
      </x:c>
      <x:c r="C66" t="n">
        <x:v>2025</x:v>
      </x:c>
      <x:c r="D66" t="str">
        <x:v>Method Paper</x:v>
      </x:c>
      <x:c r="E66" t="str">
        <x:v>ICLR</x:v>
      </x:c>
      <x:c r="F66" t="str">
        <x:v>正式主会论文：官方论文集核实</x:v>
      </x:c>
      <x:c r="G66" t="str">
        <x:v>A (CCF 7th edition; venue category not independently extracted from official PDF)</x:v>
      </x:c>
      <x:c r="H66" t="str">
        <x:v>VLA / Robot Foundation Models</x:v>
      </x:c>
      <x:c r="I66" t="str">
        <x:v>Visual Trace Prompting</x:v>
      </x:c>
      <x:c r="J66" t="str">
        <x:v>VLA; Visual Trace Prompting</x:v>
      </x:c>
      <x:c r="K66" t="e">
        <x:f>HYPERLINK("https://proceedings.iclr.cc/paper_files/paper/2025/hash/8667f264f88c7938a73a53ab01eb1327-Abstract-Conference.html","论文")</x:f>
        <x:v>HYPERLINK is not implemented. linkLocation=https://proceedings.iclr.cc/paper_files/paper/2025/hash/8667f264f88c7938a73a53ab01eb1327-Abstract-Conference.html, friendlyName=论文</x:v>
      </x:c>
      <x:c r="L66"/>
      <x:c r="M66" t="e">
        <x:f>HYPERLINK("https://tracevla.github.io/","Project")</x:f>
        <x:v>HYPERLINK is not implemented. linkLocation=https://tracevla.github.io/, friendlyName=Project</x:v>
      </x:c>
      <x:c r="N66" t="e">
        <x:f>HYPERLINK("https://github.com/umd-huang-lab/tracevla","GitHub")</x:f>
        <x:v>HYPERLINK is not implemented. linkLocation=https://github.com/umd-huang-lab/tracevla, friendlyName=GitHub</x:v>
      </x:c>
      <x:c r="O66" t="str">
        <x:v>Partial</x:v>
      </x:c>
      <x:c r="P66" t="str">
        <x:v>视觉轨迹标注数据仍标Coming soon；基础数据另行获取</x:v>
      </x:c>
      <x:c r="Q66" t="str">
        <x:v>项目页Models入口与README基座链接须区分；论文权重待核实（作者入口/说明；未验证权重文件可下载或可用性）</x:v>
      </x:c>
      <x:c r="R66" t="str">
        <x:v>Unknown</x:v>
      </x:c>
      <x:c r="S66" t="str">
        <x:v>Single Arm / Parallel Gripper</x:v>
      </x:c>
      <x:c r="T66" t="str">
        <x:v>Cross-Venue official proceedings audit</x:v>
      </x:c>
      <x:c r="U66" t="str">
        <x:v>P1</x:v>
      </x:c>
      <x:c r="V66" t="str">
        <x:v>已查TraceProcessor、推理与训练代码；README仍称轨迹标注数据Coming soon，未验证论文权重/数据完整链。保守标Partial，待可运行性复核。 Static checks only; no cloning/running or download.</x:v>
      </x:c>
      <x:c r="W66" t="str">
        <x:v>Official Verified</x:v>
      </x:c>
      <x:c r="X66" t="str">
        <x:v>2026-09-18</x:v>
      </x:c>
      <x:c r="Y66" t="str">
        <x:v>VLA</x:v>
      </x:c>
      <x:c r="Z66" t="str">
        <x:v>02_Papers/01_VLA/TraceVLA.md</x:v>
      </x:c>
      <x:c r="AA66" t="n">
        <x:v>1</x:v>
      </x:c>
      <x:c r="AB66" t="str">
        <x:v>OpenAlex</x:v>
      </x:c>
      <x:c r="AC66" t="str">
        <x:v>2026-09-25</x:v>
      </x:c>
      <x:c r="AD66" t="str">
        <x:v>大规模预训练 VLA 对交互中的时空动态仍可能理解不足。</x:v>
      </x:c>
      <x:c r="AE66" t="str">
        <x:v>Unknown / Needs Full-Paper Verification</x:v>
      </x:c>
      <x:c r="AF66" t="str">
        <x:v>Unknown / Needs Full-Paper Verification</x:v>
      </x:c>
      <x:c r="AG66" t="str">
        <x:v>SimplerEnv 137 种配置与 WidowX 真机四项任务。</x:v>
      </x:c>
      <x:c r="AH66" t="str">
        <x:v>Unknown / Needs Full-Paper Verification</x:v>
      </x:c>
      <x:c r="AI66" t="str">
        <x:v>Unknown / Needs Full-Paper Verification</x:v>
      </x:c>
      <x:c r="AJ66" t="str">
        <x:v>Unknown / Needs Full-Paper Verification</x:v>
      </x:c>
      <x:c r="AK66" t="str">
        <x:v>Unknown / Needs Full-Paper Verification</x:v>
      </x:c>
      <x:c r="AL66" t="str">
        <x:v>Unknown / Needs Full-Paper Verification</x:v>
      </x:c>
      <x:c r="AM66" t="str">
        <x:v>Library Analysis / Research Note: Unknown / Needs Full-Paper Verification</x:v>
      </x:c>
      <x:c r="AN66" t="str">
        <x:v>Unknown / Needs Project-Specific Review</x:v>
      </x:c>
      <x:c r="AO66" t="str">
        <x:v>Unknown</x:v>
      </x:c>
      <x:c r="AP66" t="str">
        <x:v>B</x:v>
      </x:c>
      <x:c r="AQ66"/>
      <x:c r="AR66" t="str">
        <x:v>Unknown / Not Explicitly Reported in the currently accessible sources.</x:v>
      </x:c>
      <x:c r="AS66" t="str">
        <x:v>Unknown / Not Explicitly Reported in the currently accessible sources.</x:v>
      </x:c>
      <x:c r="AT66" t="str">
        <x:v>https://openalex.org/W4405434146</x:v>
      </x:c>
      <x:c r="AU66" t="str">
        <x:v>Unknown</x:v>
      </x:c>
      <x:c r="AV66" t="str">
        <x:v>B-Fulltext-Unavailable</x:v>
      </x:c>
      <x:c r="AW66" t="str">
        <x:v>Not Found</x:v>
      </x:c>
      <x:c r="AX66" t="str">
        <x:v>Partial</x:v>
      </x:c>
      <x:c r="AY66" t="str">
        <x:v>Unknown</x:v>
      </x:c>
      <x:c r="AZ66" t="str">
        <x:v>https://proceedings.iclr.cc/paper_files/paper/2025/file/8667f264f88c7938a73a53ab01eb1327-Paper-Conference.pdf</x:v>
      </x:c>
      <x:c r="BA66" t="str">
        <x:v>No</x:v>
      </x:c>
      <x:c r="BB66" t="str">
        <x:v>No</x:v>
      </x:c>
      <x:c r="BC66" t="str">
        <x:v>No</x:v>
      </x:c>
      <x:c r="BD66" t="str">
        <x:v>No</x:v>
      </x:c>
      <x:c r="BE66" t="str">
        <x:v>No</x:v>
      </x:c>
      <x:c r="BF66" t="str">
        <x:v>No</x:v>
      </x:c>
      <x:c r="BG66" t="str">
        <x:v>No</x:v>
      </x:c>
      <x:c r="BH66" t="str">
        <x:v>Matched</x:v>
      </x:c>
      <x:c r="BI66" t="str">
        <x:v>Not Found After Verification</x:v>
      </x:c>
      <x:c r="BJ66" t="str">
        <x:v>Not Found After Verification</x:v>
      </x:c>
      <x:c r="BK66" t="str">
        <x:v>Audit logged - deep extraction pending</x:v>
      </x:c>
      <x:c r="BL66" t="str">
        <x:v>false</x:v>
      </x:c>
      <x:c r="BM66"/>
      <x:c r="BN66" t="str">
        <x:v>研究问题：大规模预训练 VLA 对交互中的时空动态仍可能理解不足。；之前方法的问题：只看当前帧，难表示动作轨迹和目标运动方向。；核心思路：TraceVLA 将状态—动作轨迹可视化为 trace prompt，辅助 VLA 做时空推理与动作预测。；数据集与评测基准：SimplerEnv 137 种配置与 WidowX 真机四项任务。；为什么重要：为视觉轨迹提示如何改善 VLA 提供可测实例。；与当前项目的关系：High：双臂任务可以比较轨迹提示与显式状态估计。；主要局限：单臂 WidowX 结果不直接覆盖双臂真机。</x:v>
      </x:c>
      <x:c r="BO66" t="str">
        <x:v>只看当前帧，难表示动作轨迹和目标运动方向。</x:v>
      </x:c>
      <x:c r="BP66" t="str">
        <x:v>TraceVLA 将状态—动作轨迹可视化为 trace prompt，辅助 VLA 做时空推理与动作预测。</x:v>
      </x:c>
      <x:c r="BQ66"/>
      <x:c r="BR66" t="str">
        <x:v>卡片记录相对 OpenVLA 在 SimplerEnv 高约 10%，真机任务表现约为 3.5 倍；指标定义见原卡。</x:v>
      </x:c>
      <x:c r="BS66" t="str">
        <x:v>为视觉轨迹提示如何改善 VLA 提供可测实例。</x:v>
      </x:c>
      <x:c r="BT66" t="str">
        <x:v>单臂 WidowX 结果不直接覆盖双臂真机。</x:v>
      </x:c>
      <x:c r="BU66"/>
      <x:c r="BV66" t="str">
        <x:v>High：双臂任务可以比较轨迹提示与显式状态估计。</x:v>
      </x:c>
      <x:c r="BW66" t="str">
        <x:v>官方摘要/论文页; https://arxiv.org/html/2412.10345; 核验于 2026-09-23. 仅为摘要级速读；原 Evidence Quality 不变。 - 核验层级：摘要有可追溯来源</x:v>
      </x:c>
      <x:c r="BX66" t="str">
        <x:v>final-pdf-author</x:v>
      </x:c>
      <x:c r="BY66" t="n">
        <x:v>4</x:v>
      </x:c>
      <x:c r="BZ66" t="n">
        <x:v>3</x:v>
      </x:c>
    </x:row>
    <x:row r="67" ht="58" customHeight="1">
      <x:c r="A67" t="str">
        <x:v>D066</x:v>
      </x:c>
      <x:c r="B67" t="str">
        <x:v>Latent Action Pretraining from Videos</x:v>
      </x:c>
      <x:c r="C67" t="n">
        <x:v>2025</x:v>
      </x:c>
      <x:c r="D67" t="str">
        <x:v>Method Paper</x:v>
      </x:c>
      <x:c r="E67" t="str">
        <x:v>ICLR</x:v>
      </x:c>
      <x:c r="F67" t="str">
        <x:v>正式主会论文：官方论文集核实</x:v>
      </x:c>
      <x:c r="G67" t="str">
        <x:v>A (CCF 7th edition; venue category not independently extracted from official PDF)</x:v>
      </x:c>
      <x:c r="H67" t="str">
        <x:v>VLA / Robot Foundation Models</x:v>
      </x:c>
      <x:c r="I67" t="str">
        <x:v>Human Video / Latent Action</x:v>
      </x:c>
      <x:c r="J67" t="str">
        <x:v>VLA; Human Video / Latent Action</x:v>
      </x:c>
      <x:c r="K67" t="e">
        <x:f>HYPERLINK("https://proceedings.iclr.cc/paper_files/paper/2025/hash/45d74e190008c7bff2845ffc8e3facd3-Abstract-Conference.html","论文")</x:f>
        <x:v>HYPERLINK is not implemented. linkLocation=https://proceedings.iclr.cc/paper_files/paper/2025/hash/45d74e190008c7bff2845ffc8e3facd3-Abstract-Conference.html, friendlyName=论文</x:v>
      </x:c>
      <x:c r="L67"/>
      <x:c r="M67" t="e">
        <x:f>HYPERLINK("https://latentactionpretraining.github.io/","Project")</x:f>
        <x:v>HYPERLINK is not implemented. linkLocation=https://latentactionpretraining.github.io/, friendlyName=Project</x:v>
      </x:c>
      <x:c r="N67" t="e">
        <x:f>HYPERLINK("https://github.com/LatentActionPretraining/LAPA","GitHub")</x:f>
        <x:v>HYPERLINK is not implemented. linkLocation=https://github.com/LatentActionPretraining/LAPA, friendlyName=GitHub</x:v>
      </x:c>
      <x:c r="O67" t="str">
        <x:v>Released</x:v>
      </x:c>
      <x:c r="P67" t="str">
        <x:v>作者提供预训练数据入口及Something-Something V2/自定义数据转换说明；未下载</x:v>
      </x:c>
      <x:c r="Q67" t="str">
        <x:v>https://huggingface.co/latent-action-pretraining/LAPA-7B-openx（作者入口/说明；未验证权重文件可下载或可用性）</x:v>
      </x:c>
      <x:c r="R67" t="str">
        <x:v>Unknown</x:v>
      </x:c>
      <x:c r="S67" t="str">
        <x:v>Single Arm / Parallel Gripper</x:v>
      </x:c>
      <x:c r="T67" t="str">
        <x:v>Cross-Venue official proceedings audit</x:v>
      </x:c>
      <x:c r="U67" t="str">
        <x:v>P1</x:v>
      </x:c>
      <x:c r="V67" t="str">
        <x:v>已查潜动作推理、量化训练、动作部署实现。潜动作输出需要微调映射到机器人动作；不等于开箱即用机器人策略。 Static checks only; no cloning/running or download.</x:v>
      </x:c>
      <x:c r="W67" t="str">
        <x:v>Official Verified</x:v>
      </x:c>
      <x:c r="X67" t="str">
        <x:v>2026-09-18</x:v>
      </x:c>
      <x:c r="Y67" t="str">
        <x:v>Data / Teleoperation</x:v>
      </x:c>
      <x:c r="Z67" t="str">
        <x:v>02_Papers/08_Data_Teleoperation/Latent_Action_Pretraining_from_Videos.md</x:v>
      </x:c>
      <x:c r="AA67" t="str">
        <x:v>—</x:v>
      </x:c>
      <x:c r="AB67" t="str">
        <x:v>未可靠匹配</x:v>
      </x:c>
      <x:c r="AC67" t="str">
        <x:v>2026-09-25</x:v>
      </x:c>
      <x:c r="AD67" t="str">
        <x:v>互联网视频规模大，但缺少机器人动作标签。</x:v>
      </x:c>
      <x:c r="AE67" t="str">
        <x:v>Unknown / Needs Full-Paper Verification</x:v>
      </x:c>
      <x:c r="AF67" t="str">
        <x:v>Unknown / Needs Full-Paper Verification</x:v>
      </x:c>
      <x:c r="AG67" t="str">
        <x:v>已核验摘要未明确说明；需查阅论文方法与实验章节。</x:v>
      </x:c>
      <x:c r="AH67" t="str">
        <x:v>Unknown / Needs Full-Paper Verification</x:v>
      </x:c>
      <x:c r="AI67" t="str">
        <x:v>Unknown / Needs Full-Paper Verification</x:v>
      </x:c>
      <x:c r="AJ67" t="str">
        <x:v>Unknown / Needs Full-Paper Verification</x:v>
      </x:c>
      <x:c r="AK67" t="str">
        <x:v>作者报告部分真机操作任务上优于使用机器人动作标签训练的对照 VLA；具体协议见论文。</x:v>
      </x:c>
      <x:c r="AL67" t="str">
        <x:v>Unknown / Needs Full-Paper Verification</x:v>
      </x:c>
      <x:c r="AM67" t="str">
        <x:v>Library Analysis / Research Note: Unknown / Needs Full-Paper Verification</x:v>
      </x:c>
      <x:c r="AN67" t="str">
        <x:v>Unknown / Needs Project-Specific Review</x:v>
      </x:c>
      <x:c r="AO67" t="str">
        <x:v>Unknown</x:v>
      </x:c>
      <x:c r="AP67" t="str">
        <x:v>B</x:v>
      </x:c>
      <x:c r="AQ67"/>
      <x:c r="AR67" t="str">
        <x:v>Unknown / Not Explicitly Reported in the currently accessible sources.</x:v>
      </x:c>
      <x:c r="AS67" t="str">
        <x:v>Unknown / Not Explicitly Reported in the currently accessible sources.</x:v>
      </x:c>
      <x:c r="AT67" t="str">
        <x:v>—</x:v>
      </x:c>
      <x:c r="AU67" t="str">
        <x:v>Unknown</x:v>
      </x:c>
      <x:c r="AV67" t="str">
        <x:v>B-Fulltext-Unavailable</x:v>
      </x:c>
      <x:c r="AW67" t="str">
        <x:v>Not Found</x:v>
      </x:c>
      <x:c r="AX67" t="str">
        <x:v>Mostly Complete</x:v>
      </x:c>
      <x:c r="AY67" t="str">
        <x:v>Unknown</x:v>
      </x:c>
      <x:c r="AZ67" t="str">
        <x:v>https://proceedings.iclr.cc/paper_files/paper/2025/file/45d74e190008c7bff2845ffc8e3facd3-Paper-Conference.pdf</x:v>
      </x:c>
      <x:c r="BA67" t="str">
        <x:v>No</x:v>
      </x:c>
      <x:c r="BB67" t="str">
        <x:v>No</x:v>
      </x:c>
      <x:c r="BC67" t="str">
        <x:v>No</x:v>
      </x:c>
      <x:c r="BD67" t="str">
        <x:v>No</x:v>
      </x:c>
      <x:c r="BE67" t="str">
        <x:v>No</x:v>
      </x:c>
      <x:c r="BF67" t="str">
        <x:v>No</x:v>
      </x:c>
      <x:c r="BG67" t="str">
        <x:v>No</x:v>
      </x:c>
      <x:c r="BH67" t="str">
        <x:v>Unresolved</x:v>
      </x:c>
      <x:c r="BI67" t="str">
        <x:v>Not Found After Verification</x:v>
      </x:c>
      <x:c r="BJ67" t="str">
        <x:v>Not Found After Verification</x:v>
      </x:c>
      <x:c r="BK67" t="str">
        <x:v>Audit logged - deep extraction pending</x:v>
      </x:c>
      <x:c r="BL67" t="str">
        <x:v>false</x:v>
      </x:c>
      <x:c r="BM67"/>
      <x:c r="BN67" t="str">
        <x:v>研究问题：互联网视频规模大，但缺少机器人动作标签。；之前方法的问题：传统 VLA 预训练高度依赖昂贵的机器人动作数据。；核心思路：LAPA 从无动作标签视频学习潜在动作，再用这些表示预训练视觉语言动作模型。；主要结果：作者报告部分真机操作任务上优于使用机器人动作标签训练的对照 VLA；具体协议见论文。；为什么重要：提供低成本视频数据进入 VLA 预训练的路线。；与当前项目的关系：High：双臂示范稀缺，可研究潜在动作是否可迁移。；主要局限：潜在动作与真实普通夹爪命令之间需要可靠解码。</x:v>
      </x:c>
      <x:c r="BO67" t="str">
        <x:v>传统 VLA 预训练高度依赖昂贵的机器人动作数据。</x:v>
      </x:c>
      <x:c r="BP67" t="str">
        <x:v>LAPA 从无动作标签视频学习潜在动作，再用这些表示预训练视觉语言动作模型。</x:v>
      </x:c>
      <x:c r="BQ67"/>
      <x:c r="BR67" t="str">
        <x:v>作者报告部分真机操作任务上优于使用机器人动作标签训练的对照 VLA；具体协议见论文。</x:v>
      </x:c>
      <x:c r="BS67" t="str">
        <x:v>提供低成本视频数据进入 VLA 预训练的路线。</x:v>
      </x:c>
      <x:c r="BT67" t="str">
        <x:v>潜在动作与真实普通夹爪命令之间需要可靠解码。</x:v>
      </x:c>
      <x:c r="BU67"/>
      <x:c r="BV67" t="str">
        <x:v>High：双臂示范稀缺，可研究潜在动作是否可迁移。</x:v>
      </x:c>
      <x:c r="BW67" t="str">
        <x:v>官方摘要/论文页; https://proceedings.iclr.cc/paper_files/paper/2025/hash/45d74e190008c7bff2845ffc8e3facd3-Abstract-Conference.html; 核验于 2026-09-23. 仅为摘要级速读；原 Evidence Quality 不变。 - 核验层级：摘要有可追溯来源</x:v>
      </x:c>
      <x:c r="BX67" t="str">
        <x:v>Unresolved; no reliable citation service count</x:v>
      </x:c>
      <x:c r="BY67" t="n">
        <x:v>0</x:v>
      </x:c>
      <x:c r="BZ67" t="n">
        <x:v>3</x:v>
      </x:c>
    </x:row>
    <x:row r="68" ht="58" customHeight="1">
      <x:c r="A68" t="str">
        <x:v>D067</x:v>
      </x:c>
      <x:c r="B68" t="str">
        <x:v>FlowPolicy: Enabling Fast and Robust 3D Flow-Based Policy via Consistency Flow Matching for Robot Manipulation</x:v>
      </x:c>
      <x:c r="C68" t="n">
        <x:v>2025</x:v>
      </x:c>
      <x:c r="D68" t="str">
        <x:v>Method Paper</x:v>
      </x:c>
      <x:c r="E68" t="str">
        <x:v>AAAI</x:v>
      </x:c>
      <x:c r="F68" t="str">
        <x:v>正式主会论文：官方论文集核实</x:v>
      </x:c>
      <x:c r="G68" t="str">
        <x:v>A (CCF 7th edition; venue category not independently extracted from official PDF)</x:v>
      </x:c>
      <x:c r="H68" t="str">
        <x:v>Robot Manipulation / IL / Diffusion</x:v>
      </x:c>
      <x:c r="I68" t="str">
        <x:v>Consistency Flow Matching / 3D Policy</x:v>
      </x:c>
      <x:c r="J68" t="str">
        <x:v>Robot Manipulation; Consistency Flow Matching / 3D Policy</x:v>
      </x:c>
      <x:c r="K68" t="e">
        <x:f>HYPERLINK("https://ojs.aaai.org/index.php/AAAI/article/view/33617","论文")</x:f>
        <x:v>HYPERLINK is not implemented. linkLocation=https://ojs.aaai.org/index.php/AAAI/article/view/33617, friendlyName=论文</x:v>
      </x:c>
      <x:c r="L68"/>
      <x:c r="M68"/>
      <x:c r="N68" t="e">
        <x:f>HYPERLINK("https://github.com/zql-kk/FlowPolicy","GitHub")</x:f>
        <x:v>HYPERLINK is not implemented. linkLocation=https://github.com/zql-kk/FlowPolicy, friendlyName=GitHub</x:v>
      </x:c>
      <x:c r="O68" t="str">
        <x:v>Released</x:v>
      </x:c>
      <x:c r="P68" t="str">
        <x:v>提供Adroit/MetaWorld示范生成脚本与说明；未下载数据</x:v>
      </x:c>
      <x:c r="Q68" t="str">
        <x:v>本轮未发现明确完整预训练策略权重入口；可按作者说明训练（作者入口/说明；未验证权重文件可下载或可用性）</x:v>
      </x:c>
      <x:c r="R68" t="str">
        <x:v>Unknown</x:v>
      </x:c>
      <x:c r="S68" t="str">
        <x:v>Single Arm / Parallel Gripper</x:v>
      </x:c>
      <x:c r="T68" t="str">
        <x:v>Cross-Venue official proceedings audit</x:v>
      </x:c>
      <x:c r="U68" t="str">
        <x:v>P0</x:v>
      </x:c>
      <x:c r="V68" t="str">
        <x:v>AAAI Technical Track on Intelligent Robots，14754–14762。已查FlowPolicy类、训练与评估；README说明基准统计应取训练时记录，而独立eval脚本用于部署/推理。 Static checks only; no cloning/running or download.</x:v>
      </x:c>
      <x:c r="W68" t="str">
        <x:v>Official Verified</x:v>
      </x:c>
      <x:c r="X68" t="str">
        <x:v>2026-09-18</x:v>
      </x:c>
      <x:c r="Y68" t="str">
        <x:v>Diffusion / Flow / IL / RL</x:v>
      </x:c>
      <x:c r="Z68" t="str">
        <x:v>02_Papers/06_Diffusion_Flow_IL_RL/FlowPolicy.md</x:v>
      </x:c>
      <x:c r="AA68" t="n">
        <x:v>20</x:v>
      </x:c>
      <x:c r="AB68" t="str">
        <x:v>OpenAlex</x:v>
      </x:c>
      <x:c r="AC68" t="str">
        <x:v>2026-09-25</x:v>
      </x:c>
      <x:c r="AD68" t="str">
        <x:v>扩散/流式动作生成往往需要多次采样，在线控制延迟较高。</x:v>
      </x:c>
      <x:c r="AE68" t="str">
        <x:v>Unknown / Needs Full-Paper Verification</x:v>
      </x:c>
      <x:c r="AF68" t="str">
        <x:v>以 `Robot Manipulation; Consistency Flow Matching / 3D Policy` 为主要方法/能力线索；更细的结构和消融结论待正文核验。</x:v>
      </x:c>
      <x:c r="AG68" t="str">
        <x:v>Adroit、MetaWorld。</x:v>
      </x:c>
      <x:c r="AH68" t="str">
        <x:v>Unknown / Needs Full-Paper Verification</x:v>
      </x:c>
      <x:c r="AI68" t="str">
        <x:v>- 官方题名与元数据已确认；具体表述待补读官方摘要或正文。</x:v>
      </x:c>
      <x:c r="AJ68" t="str">
        <x:v>Real Robot 字段为 `Unknown`；Dataset、Benchmark、Robot Platform 中的 Unknown 继续保留，不从题名推断。</x:v>
      </x:c>
      <x:c r="AK68" t="str">
        <x:v>AAAI 摘要报告在 Adroit 与 MetaWorld 上保持有竞争力的成功率，同时推理速度提高约 7 倍。</x:v>
      </x:c>
      <x:c r="AL68" t="str">
        <x:v>Unknown / Needs Full-Paper Verification</x:v>
      </x:c>
      <x:c r="AM68" t="str">
        <x:v>Library Analysis / Research Note: Unknown / Needs Full-Paper Verification</x:v>
      </x:c>
      <x:c r="AN68" t="str">
        <x:v>** 与机器人操作、模仿学习或策略泛化相关；是否进入 L2/L3 取决于与双臂普通夹爪平台的可迁移性。</x:v>
      </x:c>
      <x:c r="AO68" t="str">
        <x:v>Robot Manipulation; Consistency Flow Matching / 3D Policy</x:v>
      </x:c>
      <x:c r="AP68" t="str">
        <x:v>B</x:v>
      </x:c>
      <x:c r="AQ68"/>
      <x:c r="AR68" t="str">
        <x:v>Unknown / Not Explicitly Reported in the currently accessible sources.</x:v>
      </x:c>
      <x:c r="AS68" t="str">
        <x:v>Unknown / Not Explicitly Reported in the currently accessible sources.</x:v>
      </x:c>
      <x:c r="AT68" t="str">
        <x:v>https://openalex.org/W4409365031</x:v>
      </x:c>
      <x:c r="AU68" t="str">
        <x:v>https://ojs.aaai.org/index.php/AAAI/article/view/33617; https://github.com/</x:v>
      </x:c>
      <x:c r="AV68" t="str">
        <x:v>B-Fulltext-Unavailable</x:v>
      </x:c>
      <x:c r="AW68" t="str">
        <x:v>Not Found</x:v>
      </x:c>
      <x:c r="AX68" t="str">
        <x:v>Mostly Complete</x:v>
      </x:c>
      <x:c r="AY68" t="str">
        <x:v>Unknown</x:v>
      </x:c>
      <x:c r="AZ68" t="str">
        <x:v>https://ojs.aaai.org/index.php/AAAI/article/download/33617/35772</x:v>
      </x:c>
      <x:c r="BA68" t="str">
        <x:v>No</x:v>
      </x:c>
      <x:c r="BB68" t="str">
        <x:v>No</x:v>
      </x:c>
      <x:c r="BC68" t="str">
        <x:v>No</x:v>
      </x:c>
      <x:c r="BD68" t="str">
        <x:v>No</x:v>
      </x:c>
      <x:c r="BE68" t="str">
        <x:v>No</x:v>
      </x:c>
      <x:c r="BF68" t="str">
        <x:v>No</x:v>
      </x:c>
      <x:c r="BG68" t="str">
        <x:v>No</x:v>
      </x:c>
      <x:c r="BH68" t="str">
        <x:v>Matched</x:v>
      </x:c>
      <x:c r="BI68" t="str">
        <x:v>Not Found After Verification</x:v>
      </x:c>
      <x:c r="BJ68" t="str">
        <x:v>Not Found After Verification</x:v>
      </x:c>
      <x:c r="BK68" t="str">
        <x:v>Audit logged - deep extraction pending</x:v>
      </x:c>
      <x:c r="BL68" t="str">
        <x:v>false</x:v>
      </x:c>
      <x:c r="BM68"/>
      <x:c r="BN68" t="str">
        <x:v>研究问题：扩散/流式动作生成往往需要多次采样，在线控制延迟较高。；之前方法的问题：生成质量与推理速度之间存在权衡。；核心思路：FlowPolicy 使用三维点云和 consistency flow matching，在单次推理中生成动作。；输入：官方摘要给出任务/数据类型；具体模型张量与接口需核对方法章节。；输出与动作：官方摘要未明确列出完整控制接口；需核对论文方法或代码。；数据集与评测基准：Adroit、MetaWorld。；主要结果：AAAI 摘要报告在 Adroit 与 MetaWorld 上保持有竞争力的成功率，同时推理速度提高约 7 倍。；为什么重要：双臂真机尤其关注动作频率；该工作可用于比较速度与成功率。；与当前项目的关系：Medium：方法可借鉴，但迁移到当前双臂硬件需验证。；主要局限：本段基于官方摘要；未覆盖全文失败案例、完整 Baseline 与方法消融。</x:v>
      </x:c>
      <x:c r="BO68" t="str">
        <x:v>生成质量与推理速度之间存在权衡。</x:v>
      </x:c>
      <x:c r="BP68" t="str">
        <x:v>FlowPolicy 使用三维点云和 consistency flow matching，在单次推理中生成动作。</x:v>
      </x:c>
      <x:c r="BQ68"/>
      <x:c r="BR68" t="str">
        <x:v>AAAI 摘要报告在 Adroit 与 MetaWorld 上保持有竞争力的成功率，同时推理速度提高约 7 倍。</x:v>
      </x:c>
      <x:c r="BS68" t="str">
        <x:v>双臂真机尤其关注动作频率；该工作可用于比较速度与成功率。</x:v>
      </x:c>
      <x:c r="BT68" t="str">
        <x:v>本段基于官方摘要；未覆盖全文失败案例、完整 Baseline 与方法消融。</x:v>
      </x:c>
      <x:c r="BU68"/>
      <x:c r="BV68" t="str">
        <x:v>Medium：方法可借鉴，但迁移到当前双臂硬件需验证。</x:v>
      </x:c>
      <x:c r="BW68" t="str">
        <x:v>官方摘要/论文页：https://ojs.aaai.org/index.php/AAAI/article/view/33617；核验于 2026-09-23。仅为摘要级速读，原 Evidence Quality 不变。 - 核验层级：摘要有可追溯来源</x:v>
      </x:c>
      <x:c r="BX68" t="str">
        <x:v>final-pdf-author</x:v>
      </x:c>
      <x:c r="BY68" t="n">
        <x:v>0</x:v>
      </x:c>
      <x:c r="BZ68" t="n">
        <x:v>1</x:v>
      </x:c>
    </x:row>
    <x:row r="69" ht="58" customHeight="1">
      <x:c r="A69" t="str">
        <x:v>D068</x:v>
      </x:c>
      <x:c r="B69" t="str">
        <x:v>UniGraspTransformer: Simplified Policy Distillation for Scalable Dexterous Robotic Grasping</x:v>
      </x:c>
      <x:c r="C69" t="n">
        <x:v>2025</x:v>
      </x:c>
      <x:c r="D69" t="str">
        <x:v>Method Paper</x:v>
      </x:c>
      <x:c r="E69" t="str">
        <x:v>CVPR</x:v>
      </x:c>
      <x:c r="F69" t="str">
        <x:v>正式主会论文：官方论文集核实</x:v>
      </x:c>
      <x:c r="G69" t="str">
        <x:v>A (CCF 7th edition; venue category not independently extracted from official PDF)</x:v>
      </x:c>
      <x:c r="H69" t="str">
        <x:v>Robot Manipulation / IL / Diffusion; Dexterous Hand / Dexterous Manipulation</x:v>
      </x:c>
      <x:c r="I69" t="str">
        <x:v>Policy Distillation / Generalization</x:v>
      </x:c>
      <x:c r="J69" t="str">
        <x:v>Dexterous Hand; Policy Distillation / Generalization</x:v>
      </x:c>
      <x:c r="K69" t="e">
        <x:f>HYPERLINK("https://openaccess.thecvf.com/content/CVPR2025/html/Wang_UniGraspTransformer_Simplified_Policy_Distillation_for_Scalable_Dexterous_Robotic_Grasping_CVPR_2025_paper.html","论文")</x:f>
        <x:v>HYPERLINK is not implemented. linkLocation=https://openaccess.thecvf.com/content/CVPR2025/html/Wang_UniGraspTransformer_Simplified_Policy_Distillation_for_Scalable_Dexterous_Robotic_Grasping_CVPR_2025_paper.html, friendlyName=论文</x:v>
      </x:c>
      <x:c r="L69"/>
      <x:c r="M69" t="e">
        <x:f>HYPERLINK("https://dexhand.github.io/UniGraspTransformer/","Project")</x:f>
        <x:v>HYPERLINK is not implemented. linkLocation=https://dexhand.github.io/UniGraspTransformer/, friendlyName=Project</x:v>
      </x:c>
      <x:c r="N69" t="e">
        <x:f>HYPERLINK("https://github.com/microsoft/UniGraspTransformer","GitHub")</x:f>
        <x:v>HYPERLINK is not implemented. linkLocation=https://github.com/microsoft/UniGraspTransformer, friendlyName=GitHub</x:v>
      </x:c>
      <x:c r="O69" t="str">
        <x:v>Released</x:v>
      </x:c>
      <x:c r="P69" t="str">
        <x:v>提供资产/抓取初始化数据链接和生成轨迹步骤；未下载</x:v>
      </x:c>
      <x:c r="Q69" t="str">
        <x:v>IsaacGym3权重说明及IsaacGym4专用策略入口存在；IsaacGym4通用策略未发布（作者入口/说明；未验证权重文件可下载或可用性）</x:v>
      </x:c>
      <x:c r="R69" t="str">
        <x:v>Unknown</x:v>
      </x:c>
      <x:c r="S69" t="str">
        <x:v>Dexterous Hand</x:v>
      </x:c>
      <x:c r="T69" t="str">
        <x:v>Cross-Venue official proceedings audit</x:v>
      </x:c>
      <x:c r="U69" t="str">
        <x:v>P1</x:v>
      </x:c>
      <x:c r="V69" t="str">
        <x:v>已查在线RL和离线蒸馏实现及安装/训练/评估说明。代码Released；IsaacGym4通用策略权重仍Coming Soon，不代表代码也未发布。 Static checks only; no cloning/running or download.</x:v>
      </x:c>
      <x:c r="W69" t="str">
        <x:v>Official Verified</x:v>
      </x:c>
      <x:c r="X69" t="str">
        <x:v>2026-09-18</x:v>
      </x:c>
      <x:c r="Y69" t="str">
        <x:v>Dexterous</x:v>
      </x:c>
      <x:c r="Z69" t="str">
        <x:v>02_Papers/04_Dexterous/UniGraspTransformer.md</x:v>
      </x:c>
      <x:c r="AA69" t="n">
        <x:v>7</x:v>
      </x:c>
      <x:c r="AB69" t="str">
        <x:v>OpenAlex</x:v>
      </x:c>
      <x:c r="AC69" t="str">
        <x:v>2026-09-25</x:v>
      </x:c>
      <x:c r="AD69" t="str">
        <x:v>通用灵巧手抓取需要在不同物体类别上预测稳定抓法。</x:v>
      </x:c>
      <x:c r="AE69" t="str">
        <x:v>Unknown / Needs Full-Paper Verification</x:v>
      </x:c>
      <x:c r="AF69" t="str">
        <x:v>以 `Dexterous Hand; Policy Distillation / Generali</x:v>
      </x:c>
      <x:c r="AG69" t="str">
        <x:v>已核验摘要未明确说明；需查阅论文方法与实验章节。</x:v>
      </x:c>
      <x:c r="AH69" t="str">
        <x:v>Unknown / Needs Full-Paper Verification</x:v>
      </x:c>
      <x:c r="AI69" t="str">
        <x:v>- We introduce UniGraspTransformer, a universal Transformer-based network for dexterous robotic grasping that simplifies training while enhancing scalability and performance.</x:v>
      </x:c>
      <x:c r="AJ69" t="str">
        <x:v>Real Robot 字段为 `Unknown`；Dataset、Benchmark、Robot Platform 中的 Unknown 继续保留，不从题名推断。</x:v>
      </x:c>
      <x:c r="AK69" t="str">
        <x:v>作者报告在多个物体类别上优于 UniDexGrasp++；具体成功率需查实验表。</x:v>
      </x:c>
      <x:c r="AL69" t="str">
        <x:v>Unknown / Needs Full-Paper Verification</x:v>
      </x:c>
      <x:c r="AM69" t="str">
        <x:v>Library Analysis / Research Note: Unknown / Needs Full-Paper Verification</x:v>
      </x:c>
      <x:c r="AN69" t="str">
        <x:v>** 对灵巧操作扩展有参考价值；当前普通夹爪主线需区分可迁移的学习方法与依赖多指硬件的部分。</x:v>
      </x:c>
      <x:c r="AO69" t="str">
        <x:v>Dexterous Hand; Policy Distillation / Generalization</x:v>
      </x:c>
      <x:c r="AP69" t="str">
        <x:v>B</x:v>
      </x:c>
      <x:c r="AQ69"/>
      <x:c r="AR69" t="str">
        <x:v>Unknown / Not Explicitly Reported in the currently accessible sources.</x:v>
      </x:c>
      <x:c r="AS69" t="str">
        <x:v>Unknown / Not Explicitly Reported in the currently accessible sources.</x:v>
      </x:c>
      <x:c r="AT69" t="str">
        <x:v>https://openalex.org/W4413145029</x:v>
      </x:c>
      <x:c r="AU69" t="str">
        <x:v>https://openaccess.thecvf.com/content/CVPR2025/html/Wang_UniGraspTransformer_Simplified_Policy_Distillation_for_Scalable_Dexterous_Robotic_Grasping_CVPR_2025_paper.html；官方摘要/论文集元数据</x:v>
      </x:c>
      <x:c r="AV69" t="str">
        <x:v>B-Fulltext-Unavailable</x:v>
      </x:c>
      <x:c r="AW69" t="str">
        <x:v>Not Found</x:v>
      </x:c>
      <x:c r="AX69" t="str">
        <x:v>Mostly Complete</x:v>
      </x:c>
      <x:c r="AY69" t="str">
        <x:v>Unknown</x:v>
      </x:c>
      <x:c r="AZ69" t="str">
        <x:v>https://openaccess.thecvf.com/content/CVPR2025/papers/Wang_UniGraspTransformer_Simplified_Policy_Distillation_for_Scalable_Dexterous_Robotic_Grasping_CVPR_2025_paper.pdf</x:v>
      </x:c>
      <x:c r="BA69" t="str">
        <x:v>No</x:v>
      </x:c>
      <x:c r="BB69" t="str">
        <x:v>No</x:v>
      </x:c>
      <x:c r="BC69" t="str">
        <x:v>No</x:v>
      </x:c>
      <x:c r="BD69" t="str">
        <x:v>No</x:v>
      </x:c>
      <x:c r="BE69" t="str">
        <x:v>No</x:v>
      </x:c>
      <x:c r="BF69" t="str">
        <x:v>No</x:v>
      </x:c>
      <x:c r="BG69" t="str">
        <x:v>No</x:v>
      </x:c>
      <x:c r="BH69" t="str">
        <x:v>Matched</x:v>
      </x:c>
      <x:c r="BI69" t="str">
        <x:v>Not Found After Verification</x:v>
      </x:c>
      <x:c r="BJ69" t="str">
        <x:v>Not Found After Verification</x:v>
      </x:c>
      <x:c r="BK69" t="str">
        <x:v>Audit logged - deep extraction pending</x:v>
      </x:c>
      <x:c r="BL69" t="str">
        <x:v>false</x:v>
      </x:c>
      <x:c r="BM69"/>
      <x:c r="BN69" t="str">
        <x:v>研究问题：通用灵巧手抓取需要在不同物体类别上预测稳定抓法。；之前方法的问题：复杂训练流程和手型依赖限制方法复用。；核心思路：UniGraspTransformer 用统一的 Transformer 网络预测灵巧抓取，并简化训练过程。；主要结果：作者报告在多个物体类别上优于 UniDexGrasp++；具体成功率需查实验表。；为什么重要：提供跨物体抓取模型的简洁架构基线。；与当前项目的关系：Medium：模型结构可参考，但需重做普通夹爪动作输出。；主要局限：灵巧手抓取 benchmark 与双臂真机任务仍有差距。</x:v>
      </x:c>
      <x:c r="BO69" t="str">
        <x:v>复杂训练流程和手型依赖限制方法复用。</x:v>
      </x:c>
      <x:c r="BP69" t="str">
        <x:v>UniGraspTransformer 用统一的 Transformer 网络预测灵巧抓取，并简化训练过程。</x:v>
      </x:c>
      <x:c r="BQ69"/>
      <x:c r="BR69" t="str">
        <x:v>作者报告在多个物体类别上优于 UniDexGrasp++；具体成功率需查实验表。</x:v>
      </x:c>
      <x:c r="BS69" t="str">
        <x:v>提供跨物体抓取模型的简洁架构基线。</x:v>
      </x:c>
      <x:c r="BT69" t="str">
        <x:v>灵巧手抓取 benchmark 与双臂真机任务仍有差距。</x:v>
      </x:c>
      <x:c r="BU69"/>
      <x:c r="BV69" t="str">
        <x:v>Medium：模型结构可参考，但需重做普通夹爪动作输出。</x:v>
      </x:c>
      <x:c r="BW69" t="str">
        <x:v>官方摘要/论文页; https://openaccess.thecvf.com/content/CVPR2025/html/Wang_UniGraspTransformer_Simplified_Policy_Distillation_for_Scalable_Dexterous_Robotic_Grasping_CVPR_2025_paper.html; 核验于 2026-09-23. 仅为摘要级速读；原 Evidence Quality 不变。 - 核验层级：摘要有可追溯来源</x:v>
      </x:c>
      <x:c r="BX69" t="str">
        <x:v>title</x:v>
      </x:c>
      <x:c r="BY69" t="n">
        <x:v>1</x:v>
      </x:c>
      <x:c r="BZ69" t="n">
        <x:v>0</x:v>
      </x:c>
    </x:row>
    <x:row r="70" ht="58" customHeight="1">
      <x:c r="A70" t="str">
        <x:v>D069</x:v>
      </x:c>
      <x:c r="B70" t="str">
        <x:v>Scaffolding Dexterous Manipulation with Vision-Language Models</x:v>
      </x:c>
      <x:c r="C70" t="n">
        <x:v>2025</x:v>
      </x:c>
      <x:c r="D70" t="str">
        <x:v>Method Paper</x:v>
      </x:c>
      <x:c r="E70" t="str">
        <x:v>NeurIPS</x:v>
      </x:c>
      <x:c r="F70" t="str">
        <x:v>正式主会论文：官方论文集核实</x:v>
      </x:c>
      <x:c r="G70" t="str">
        <x:v>A (CCF 7th edition; venue category not independently extracted from official PDF)</x:v>
      </x:c>
      <x:c r="H70" t="str">
        <x:v>Dexterous Hand / Dexterous Manipulation</x:v>
      </x:c>
      <x:c r="I70" t="str">
        <x:v>Residual RL / VLM Planning</x:v>
      </x:c>
      <x:c r="J70" t="str">
        <x:v>Dexterous Hand; Residual RL / VLM Planning</x:v>
      </x:c>
      <x:c r="K70" t="e">
        <x:f>HYPERLINK("https://proceedings.neurips.cc/paper_files/paper/2025/hash/862644b156e51c35dea5a7446d640b14-Abstract-Conference.html","论文")</x:f>
        <x:v>HYPERLINK is not implemented. linkLocation=https://proceedings.neurips.cc/paper_files/paper/2025/hash/862644b156e51c35dea5a7446d640b14-Abstract-Conference.html, friendlyName=论文</x:v>
      </x:c>
      <x:c r="L70"/>
      <x:c r="M70" t="e">
        <x:f>HYPERLINK("https://sites.google.com/view/dexterous-vlm-scaffolding","Project")</x:f>
        <x:v>HYPERLINK is not implemented. linkLocation=https://sites.google.com/view/dexterous-vlm-scaffolding, friendlyName=Project</x:v>
      </x:c>
      <x:c r="N70" t="e">
        <x:f>HYPERLINK("https://github.com/vdebakker/vlm-scaffolding","GitHub")</x:f>
        <x:v>HYPERLINK is not implemented. linkLocation=https://github.com/vdebakker/vlm-scaffolding, friendlyName=GitHub</x:v>
      </x:c>
      <x:c r="O70" t="str">
        <x:v>Released</x:v>
      </x:c>
      <x:c r="P70" t="str">
        <x:v>公开数据生成实现与任务资产；不等于所有论文轨迹均已提供</x:v>
      </x:c>
      <x:c r="Q70" t="str">
        <x:v>本轮未发现完整预训练策略包公开链接（作者入口/说明；未验证权重文件可下载或可用性）</x:v>
      </x:c>
      <x:c r="R70" t="str">
        <x:v>Unknown</x:v>
      </x:c>
      <x:c r="S70" t="str">
        <x:v>Dexterous Hand</x:v>
      </x:c>
      <x:c r="T70" t="str">
        <x:v>Cross-Venue official proceedings audit</x:v>
      </x:c>
      <x:c r="U70" t="str">
        <x:v>P1</x:v>
      </x:c>
      <x:c r="V70" t="str">
        <x:v>已查轨迹生成、RL训练和评估；README提供真机ROS部署说明。依赖外部Gemini服务、仿真器及机器人环境，未运行。 Static checks only; no cloning/running or download.</x:v>
      </x:c>
      <x:c r="W70" t="str">
        <x:v>Official Verified</x:v>
      </x:c>
      <x:c r="X70" t="str">
        <x:v>2026-09-18</x:v>
      </x:c>
      <x:c r="Y70" t="str">
        <x:v>Dexterous</x:v>
      </x:c>
      <x:c r="Z70" t="str">
        <x:v>02_Papers/04_Dexterous/Scaffolding_Dexterous_Manipulation_with_Vision-Language_Models.md</x:v>
      </x:c>
      <x:c r="AA70" t="n">
        <x:v>0</x:v>
      </x:c>
      <x:c r="AB70" t="str">
        <x:v>OpenAlex</x:v>
      </x:c>
      <x:c r="AC70" t="str">
        <x:v>2026-09-25</x:v>
      </x:c>
      <x:c r="AD70" t="str">
        <x:v>灵巧手操作数据和训练成本高，复杂任务还需要语义理解。</x:v>
      </x:c>
      <x:c r="AE70" t="str">
        <x:v>Unknown / Needs Full-Paper Verification</x:v>
      </x:c>
      <x:c r="AF70" t="str">
        <x:v>以 `Dexterous Hand; Residual RL / VLM Planning` 为主要方法/能力线索；更细的结构和消融结论待正文核验。</x:v>
      </x:c>
      <x:c r="AG70" t="str">
        <x:v>已核验摘要未明确说明；需查阅论文方法与实验章节。</x:v>
      </x:c>
      <x:c r="AH70" t="str">
        <x:v>Unknown / Needs Full-Paper Verification</x:v>
      </x:c>
      <x:c r="AI70" t="str">
        <x:v>- Dexterous robotic hands are essential for performing complex manipulation tasks, yet remain difficult to train due to the challenges of demonstration collection and high-dimensional control.</x:v>
      </x:c>
      <x:c r="AJ70" t="str">
        <x:v>Real Robot 字段为 `Unknown`；Dataset、Benchmark、Robot Platform 中的 Unknown 继续保留，不从题名推断。</x:v>
      </x:c>
      <x:c r="AK70" t="str">
        <x:v>Unknown / Needs Full-Paper Verification</x:v>
      </x:c>
      <x:c r="AL70" t="str">
        <x:v>Unknown / Needs Full-Paper Verification</x:v>
      </x:c>
      <x:c r="AM70" t="str">
        <x:v>Library Analysis / Research Note: Unknown / Needs Full-Paper Verification</x:v>
      </x:c>
      <x:c r="AN70" t="str">
        <x:v>** 可用于 VLA/机器人基础模型路线对比；应重点核对动作头、训练数据与真机部署成本是否适合当前平台。</x:v>
      </x:c>
      <x:c r="AO70" t="str">
        <x:v>Dexterous Hand; Residual RL / VLM Planning</x:v>
      </x:c>
      <x:c r="AP70" t="str">
        <x:v>B</x:v>
      </x:c>
      <x:c r="AQ70"/>
      <x:c r="AR70" t="str">
        <x:v>Unknown / Not Explicitly Reported in the currently accessible sources.</x:v>
      </x:c>
      <x:c r="AS70" t="str">
        <x:v>Unknown / Not Explicitly Reported in the currently accessible sources.</x:v>
      </x:c>
      <x:c r="AT70" t="str">
        <x:v>https://openalex.org/W4414683599</x:v>
      </x:c>
      <x:c r="AU70" t="str">
        <x:v>https://proceedings.neurips.cc/paper_files/paper/2025/hash/862644b156e51c35dea5a7446d640b14-Abstract-Conference.html；官方摘要/论文集元数据</x:v>
      </x:c>
      <x:c r="AV70" t="str">
        <x:v>B-Fulltext-Unavailable</x:v>
      </x:c>
      <x:c r="AW70" t="str">
        <x:v>Not Found</x:v>
      </x:c>
      <x:c r="AX70" t="str">
        <x:v>Mostly Complete</x:v>
      </x:c>
      <x:c r="AY70" t="str">
        <x:v>Unknown</x:v>
      </x:c>
      <x:c r="AZ70" t="str">
        <x:v>https://proceedings.neurips.cc/paper_files/paper/2025/file/862644b156e51c35dea5a7446d640b14-Paper-Conference.pdf</x:v>
      </x:c>
      <x:c r="BA70" t="str">
        <x:v>No</x:v>
      </x:c>
      <x:c r="BB70" t="str">
        <x:v>No</x:v>
      </x:c>
      <x:c r="BC70" t="str">
        <x:v>No</x:v>
      </x:c>
      <x:c r="BD70" t="str">
        <x:v>No</x:v>
      </x:c>
      <x:c r="BE70" t="str">
        <x:v>No</x:v>
      </x:c>
      <x:c r="BF70" t="str">
        <x:v>No</x:v>
      </x:c>
      <x:c r="BG70" t="str">
        <x:v>No</x:v>
      </x:c>
      <x:c r="BH70" t="str">
        <x:v>Matched</x:v>
      </x:c>
      <x:c r="BI70" t="str">
        <x:v>Not Found After Verification</x:v>
      </x:c>
      <x:c r="BJ70" t="str">
        <x:v>Not Found After Verification</x:v>
      </x:c>
      <x:c r="BK70" t="str">
        <x:v>Audit logged - deep extraction pending</x:v>
      </x:c>
      <x:c r="BL70" t="str">
        <x:v>false</x:v>
      </x:c>
      <x:c r="BM70"/>
      <x:c r="BN70" t="str">
        <x:v>研究问题：灵巧手操作数据和训练成本高，复杂任务还需要语义理解。；之前方法的问题：纯低层策略难从少量示范组织多步任务。；核心思路：用 VLM 提供高层任务结构和语义线索，支撑灵巧手低层操作学习。；为什么重要：展示 VLM 规划与低层动作之间的接口问题。；与当前项目的关系：Medium：双臂普通夹爪也需要高低层协作。；主要局限：仿真灵巧手结果不能直接推断双臂真机表现。</x:v>
      </x:c>
      <x:c r="BO70" t="str">
        <x:v>纯低层策略难从少量示范组织多步任务。</x:v>
      </x:c>
      <x:c r="BP70" t="str">
        <x:v>用 VLM 提供高层任务结构和语义线索，支撑灵巧手低层操作学习。</x:v>
      </x:c>
      <x:c r="BQ70"/>
      <x:c r="BR70" t="str">
        <x:v>论文报告在关节物体及语义理解仿真任务中验证方法；具体数值需查正文。</x:v>
      </x:c>
      <x:c r="BS70" t="str">
        <x:v>展示 VLM 规划与低层动作之间的接口问题。</x:v>
      </x:c>
      <x:c r="BT70" t="str">
        <x:v>仿真灵巧手结果不能直接推断双臂真机表现。</x:v>
      </x:c>
      <x:c r="BU70"/>
      <x:c r="BV70" t="str">
        <x:v>Medium：双臂普通夹爪也需要高低层协作。</x:v>
      </x:c>
      <x:c r="BW70" t="str">
        <x:v>官方摘要/论文页; https://proceedings.neurips.cc/paper_files/paper/2025/hash/862644b156e51c35dea5a7446d640b14-Abstract-Conference.html; 核验于 2026-09-23. 仅为摘要级速读；原 Evidence Quality 不变。 - 核验层级：摘要有可追溯来源</x:v>
      </x:c>
      <x:c r="BX70" t="str">
        <x:v>doi</x:v>
      </x:c>
      <x:c r="BY70" t="n">
        <x:v>0</x:v>
      </x:c>
      <x:c r="BZ70" t="n">
        <x:v>0</x:v>
      </x:c>
    </x:row>
    <x:row r="71" ht="58" customHeight="1">
      <x:c r="A71" t="str">
        <x:v>D070</x:v>
      </x:c>
      <x:c r="B71" t="str">
        <x:v>VideoVLA: Video Generators Can Be Generalizable Robot Manipulators</x:v>
      </x:c>
      <x:c r="C71" t="n">
        <x:v>2025</x:v>
      </x:c>
      <x:c r="D71" t="str">
        <x:v>Method Paper</x:v>
      </x:c>
      <x:c r="E71" t="str">
        <x:v>NeurIPS</x:v>
      </x:c>
      <x:c r="F71" t="str">
        <x:v>正式主会论文：官方论文集核实</x:v>
      </x:c>
      <x:c r="G71" t="str">
        <x:v>A (CCF 7th edition; venue category not independently extracted from official PDF)</x:v>
      </x:c>
      <x:c r="H71" t="str">
        <x:v>VLA / Robot Foundation Models</x:v>
      </x:c>
      <x:c r="I71" t="str">
        <x:v>Video-Action Model / Generalization</x:v>
      </x:c>
      <x:c r="J71" t="str">
        <x:v>VLA; Video-Action Model / Generalization</x:v>
      </x:c>
      <x:c r="K71" t="e">
        <x:f>HYPERLINK("https://proceedings.neurips.cc/paper_files/paper/2025/hash/89a3b655a8b68ae1c76b768152c9c19d-Abstract-Conference.html","论文")</x:f>
        <x:v>HYPERLINK is not implemented. linkLocation=https://proceedings.neurips.cc/paper_files/paper/2025/hash/89a3b655a8b68ae1c76b768152c9c19d-Abstract-Conference.html, friendlyName=论文</x:v>
      </x:c>
      <x:c r="L71"/>
      <x:c r="M71" t="e">
        <x:f>HYPERLINK("https://videovla-nips2025.github.io/","Project")</x:f>
        <x:v>HYPERLINK is not implemented. linkLocation=https://videovla-nips2025.github.io/, friendlyName=Project</x:v>
      </x:c>
      <x:c r="N71" t="e">
        <x:f>HYPERLINK("https://github.com/VideoVLA-Project/VideoVLA","GitHub")</x:f>
        <x:v>HYPERLINK is not implemented. linkLocation=https://github.com/VideoVLA-Project/VideoVLA, friendlyName=GitHub</x:v>
      </x:c>
      <x:c r="O71" t="str">
        <x:v>Partial</x:v>
      </x:c>
      <x:c r="P71" t="str">
        <x:v>README未提供完整论文训练数据准备流程</x:v>
      </x:c>
      <x:c r="Q71" t="str">
        <x:v>项目页提供VideoVLA模型链接；README还要求CogVideo的T5与VAE；未下载（作者入口/说明；未验证权重文件可下载或可用性）</x:v>
      </x:c>
      <x:c r="R71" t="str">
        <x:v>Unknown</x:v>
      </x:c>
      <x:c r="S71" t="str">
        <x:v>Single Arm / Parallel Gripper</x:v>
      </x:c>
      <x:c r="T71" t="str">
        <x:v>Cross-Venue official proceedings audit</x:v>
      </x:c>
      <x:c r="U71" t="str">
        <x:v>P1</x:v>
      </x:c>
      <x:c r="V71" t="str">
        <x:v>已查动作DiT、扩散引擎、sample_video_action.py。旧Coming soon文字在HTML注释中，不能当作当前状态；训练/机器人benchmark完整流水线本轮未确认，标Partial待运行条件复核。 Static checks only; no cloning/running or download.</x:v>
      </x:c>
      <x:c r="W71" t="str">
        <x:v>Official Verified</x:v>
      </x:c>
      <x:c r="X71" t="str">
        <x:v>2026-09-18</x:v>
      </x:c>
      <x:c r="Y71" t="str">
        <x:v>VLA</x:v>
      </x:c>
      <x:c r="Z71" t="str">
        <x:v>02_Papers/01_VLA/VideoVLA.md</x:v>
      </x:c>
      <x:c r="AA71" t="n">
        <x:v>3</x:v>
      </x:c>
      <x:c r="AB71" t="str">
        <x:v>OpenAlex</x:v>
      </x:c>
      <x:c r="AC71" t="str">
        <x:v>2026-09-25</x:v>
      </x:c>
      <x:c r="AD71" t="str">
        <x:v>开放环境操作需要预见动作后果并适应新场景。</x:v>
      </x:c>
      <x:c r="AE71" t="str">
        <x:v>Unknown / Needs Full-Paper Verification</x:v>
      </x:c>
      <x:c r="AF71" t="str">
        <x:v>以 `VLA; Video-Action Model / Generali</x:v>
      </x:c>
      <x:c r="AG71" t="str">
        <x:v>已核验摘要未明确说明；需查阅论文方法与实验章节。</x:v>
      </x:c>
      <x:c r="AH71" t="str">
        <x:v>Unknown / Needs Full-Paper Verification</x:v>
      </x:c>
      <x:c r="AI71" t="str">
        <x:v>- In this work, we present VideoVLA, a simple approach that explores the potential of transforming large video generation models into robotic VLA manipulators.</x:v>
      </x:c>
      <x:c r="AJ71" t="str">
        <x:v>Real Robot 字段为 `Unknown`；Dataset、Benchmark、Robot Platform 中的 Unknown 继续保留，不从题名推断。</x:v>
      </x:c>
      <x:c r="AK71" t="str">
        <x:v>作者报告想象未来质量与动作可靠性、任务成功相关；具体数字见实验章节。</x:v>
      </x:c>
      <x:c r="AL71" t="str">
        <x:v>Unknown / Needs Full-Paper Verification</x:v>
      </x:c>
      <x:c r="AM71" t="str">
        <x:v>Library Analysis / Research Note: Unknown / Needs Full-Paper Verification</x:v>
      </x:c>
      <x:c r="AN71" t="str">
        <x:v>** 可用于 VLA/机器人基础模型路线对比；应重点核对动作头、训练数据与真机部署成本是否适合当前平台。</x:v>
      </x:c>
      <x:c r="AO71" t="str">
        <x:v>VLA; Video-Action Model / Generalization</x:v>
      </x:c>
      <x:c r="AP71" t="str">
        <x:v>B</x:v>
      </x:c>
      <x:c r="AQ71"/>
      <x:c r="AR71" t="str">
        <x:v>Unknown / Not Explicitly Reported in the currently accessible sources.</x:v>
      </x:c>
      <x:c r="AS71" t="str">
        <x:v>Unknown / Not Explicitly Reported in the currently accessible sources.</x:v>
      </x:c>
      <x:c r="AT71" t="str">
        <x:v>https://openalex.org/W7196952124</x:v>
      </x:c>
      <x:c r="AU71" t="str">
        <x:v>https://proceedings.neurips.cc/paper_files/paper/2025/hash/89a3b655a8b68ae1c76b768152c9c19d-Abstract-Conference.html；官方摘要/论文集元数据</x:v>
      </x:c>
      <x:c r="AV71" t="str">
        <x:v>B-Fulltext-Unavailable</x:v>
      </x:c>
      <x:c r="AW71" t="str">
        <x:v>Not Found</x:v>
      </x:c>
      <x:c r="AX71" t="str">
        <x:v>Partial</x:v>
      </x:c>
      <x:c r="AY71" t="str">
        <x:v>Unknown</x:v>
      </x:c>
      <x:c r="AZ71" t="str">
        <x:v>https://proceedings.neurips.cc/paper_files/paper/2025/file/89a3b655a8b68ae1c76b768152c9c19d-Paper-Conference.pdf</x:v>
      </x:c>
      <x:c r="BA71" t="str">
        <x:v>No</x:v>
      </x:c>
      <x:c r="BB71" t="str">
        <x:v>No</x:v>
      </x:c>
      <x:c r="BC71" t="str">
        <x:v>No</x:v>
      </x:c>
      <x:c r="BD71" t="str">
        <x:v>No</x:v>
      </x:c>
      <x:c r="BE71" t="str">
        <x:v>No</x:v>
      </x:c>
      <x:c r="BF71" t="str">
        <x:v>No</x:v>
      </x:c>
      <x:c r="BG71" t="str">
        <x:v>No</x:v>
      </x:c>
      <x:c r="BH71" t="str">
        <x:v>Matched</x:v>
      </x:c>
      <x:c r="BI71" t="str">
        <x:v>Not Found After Verification</x:v>
      </x:c>
      <x:c r="BJ71" t="str">
        <x:v>Not Found After Verification</x:v>
      </x:c>
      <x:c r="BK71" t="str">
        <x:v>Audit logged - deep extraction pending</x:v>
      </x:c>
      <x:c r="BL71" t="str">
        <x:v>false</x:v>
      </x:c>
      <x:c r="BM71"/>
      <x:c r="BN71" t="str">
        <x:v>研究问题：开放环境操作需要预见动作后果并适应新场景。；之前方法的问题：只从当前视觉预测动作，可能缺少对未来状态的理解。；核心思路：VideoVLA 将视频生成模型用于 VLA，利用想象的未来画面帮助动作选择。；主要结果：作者报告想象未来质量与动作可靠性、任务成功相关；具体数字见实验章节。；为什么重要：把世界模型式视觉预期与机器人动作生成连接起来。；与当前项目的关系：High：可用于双臂动作前预期与动作后验证。；主要局限：视频看起来合理不一定代表接触力与夹爪动作正确。</x:v>
      </x:c>
      <x:c r="BO71" t="str">
        <x:v>只从当前视觉预测动作，可能缺少对未来状态的理解。</x:v>
      </x:c>
      <x:c r="BP71" t="str">
        <x:v>VideoVLA 将视频生成模型用于 VLA，利用想象的未来画面帮助动作选择。</x:v>
      </x:c>
      <x:c r="BQ71"/>
      <x:c r="BR71" t="str">
        <x:v>作者报告想象未来质量与动作可靠性、任务成功相关；具体数字见实验章节。</x:v>
      </x:c>
      <x:c r="BS71" t="str">
        <x:v>把世界模型式视觉预期与机器人动作生成连接起来。</x:v>
      </x:c>
      <x:c r="BT71" t="str">
        <x:v>视频看起来合理不一定代表接触力与夹爪动作正确。</x:v>
      </x:c>
      <x:c r="BU71"/>
      <x:c r="BV71" t="str">
        <x:v>High：可用于双臂动作前预期与动作后验证。</x:v>
      </x:c>
      <x:c r="BW71" t="str">
        <x:v>官方摘要/论文页; https://arxiv.org/html/2512.06963; 核验于 2026-09-23. 仅为摘要级速读；原 Evidence Quality 不变。 - 核验层级：摘要有可追溯来源</x:v>
      </x:c>
      <x:c r="BX71" t="str">
        <x:v>doi</x:v>
      </x:c>
      <x:c r="BY71" t="n">
        <x:v>6</x:v>
      </x:c>
      <x:c r="BZ71" t="n">
        <x:v>1</x:v>
      </x:c>
    </x:row>
    <x:row r="72" ht="58" customHeight="1">
      <x:c r="A72" t="str">
        <x:v>D071</x:v>
      </x:c>
      <x:c r="B72" t="str">
        <x:v>DextER: Language-driven Dexterous Grasp Generation with Embodied Reasoning</x:v>
      </x:c>
      <x:c r="C72" t="n">
        <x:v>2026</x:v>
      </x:c>
      <x:c r="D72" t="str">
        <x:v>Method Paper</x:v>
      </x:c>
      <x:c r="E72" t="str">
        <x:v>CVPR</x:v>
      </x:c>
      <x:c r="F72" t="str">
        <x:v>正式主会论文：官方论文集核实</x:v>
      </x:c>
      <x:c r="G72" t="str">
        <x:v>A (CCF 7th edition; venue category not independently extracted from official PDF)</x:v>
      </x:c>
      <x:c r="H72" t="str">
        <x:v>Dexterous Hand / Dexterous Manipulation</x:v>
      </x:c>
      <x:c r="I72" t="str">
        <x:v>Contact Reasoning / Language-guided Grasp</x:v>
      </x:c>
      <x:c r="J72" t="str">
        <x:v>Dexterous Hand; Contact Reasoning / Language-guided Grasp</x:v>
      </x:c>
      <x:c r="K72" t="e">
        <x:f>HYPERLINK("https://openaccess.thecvf.com/content/CVPR2026/html/Lee_DextER_Language-driven_Dexterous_Grasp_Generation_with_Embodied_Reasoning_CVPR_2026_paper.html","论文")</x:f>
        <x:v>HYPERLINK is not implemented. linkLocation=https://openaccess.thecvf.com/content/CVPR2026/html/Lee_DextER_Language-driven_Dexterous_Grasp_Generation_with_Embodied_Reasoning_CVPR_2026_paper.html, friendlyName=论文</x:v>
      </x:c>
      <x:c r="L72"/>
      <x:c r="M72" t="e">
        <x:f>HYPERLINK("https://junha-l.github.io/dexter/","Project")</x:f>
        <x:v>HYPERLINK is not implemented. linkLocation=https://junha-l.github.io/dexter/, friendlyName=Project</x:v>
      </x:c>
      <x:c r="N72" t="e">
        <x:f>HYPERLINK("https://github.com/junha-l/dexter","GitHub")</x:f>
        <x:v>HYPERLINK is not implemented. linkLocation=https://github.com/junha-l/dexter, friendlyName=GitHub</x:v>
      </x:c>
      <x:c r="O72" t="str">
        <x:v>Released</x:v>
      </x:c>
      <x:c r="P72" t="str">
        <x:v>作者提供预处理数据：https://huggingface.co/datasets/EunhaPark/project_dexter；未下载</x:v>
      </x:c>
      <x:c r="Q72" t="str">
        <x:v>https://huggingface.co/junhalee/dexter-qwen2.5-0.5B-dexgys（作者入口/说明；未验证权重文件可下载或可用性）</x:v>
      </x:c>
      <x:c r="R72" t="str">
        <x:v>Unknown</x:v>
      </x:c>
      <x:c r="S72" t="str">
        <x:v>Dexterous Hand</x:v>
      </x:c>
      <x:c r="T72" t="str">
        <x:v>Cross-Venue official proceedings audit</x:v>
      </x:c>
      <x:c r="U72" t="str">
        <x:v>P0</x:v>
      </x:c>
      <x:c r="V72" t="str">
        <x:v>CVF页面直接访问成功；已查核心模型、训练和测试实现。数据说明有2026-07-22修正，后续应使用修正版数据。 Static checks only; no cloning/running or download.</x:v>
      </x:c>
      <x:c r="W72" t="str">
        <x:v>Official Verified</x:v>
      </x:c>
      <x:c r="X72" t="str">
        <x:v>2026-09-18</x:v>
      </x:c>
      <x:c r="Y72" t="str">
        <x:v>Dexterous</x:v>
      </x:c>
      <x:c r="Z72" t="str">
        <x:v>02_Papers/04_Dexterous/DextER.md</x:v>
      </x:c>
      <x:c r="AA72" t="n">
        <x:v>0</x:v>
      </x:c>
      <x:c r="AB72" t="str">
        <x:v>OpenAlex</x:v>
      </x:c>
      <x:c r="AC72" t="str">
        <x:v>2026-09-25</x:v>
      </x:c>
      <x:c r="AD72" t="str">
        <x:v>语言驱动的灵巧抓取要同时理解任务语义、三维几何和接触关系。</x:v>
      </x:c>
      <x:c r="AE72" t="str">
        <x:v>Unknown / Needs Full-Paper Verification</x:v>
      </x:c>
      <x:c r="AF72" t="str">
        <x:v>以 `Dexterous Hand; Contact Reasoning / Language-guided Grasp` 为主要方法/能力线索；更细的结构和消融结论待正文核验。</x:v>
      </x:c>
      <x:c r="AG72" t="str">
        <x:v>DexGYS。</x:v>
      </x:c>
      <x:c r="AH72" t="str">
        <x:v>Unknown / Needs Full-Paper Verification</x:v>
      </x:c>
      <x:c r="AI72" t="str">
        <x:v>- We present DextER, Dexterous Grasp Generation with Embodied Reasoning, which introduces contact-based embodied reasoning for multi-finger manipulation.</x:v>
      </x:c>
      <x:c r="AJ72" t="str">
        <x:v>Real Robot 字段为 `Unknown`；Dataset、Benchmark、Robot Platform 中的 Unknown 继续保留，不从题名推断。</x:v>
      </x:c>
      <x:c r="AK72" t="str">
        <x:v>Unknown / Needs Full-Paper Verification</x:v>
      </x:c>
      <x:c r="AL72" t="str">
        <x:v>Unknown / Needs Full-Paper Verification</x:v>
      </x:c>
      <x:c r="AM72" t="str">
        <x:v>Library Analysis / Research Note: Unknown / Needs Full-Paper Verification</x:v>
      </x:c>
      <x:c r="AN72" t="str">
        <x:v>** 对灵巧操作扩展有参考价值；当前普通夹爪主线需区分可迁移的学习方法与依赖多指硬件的部分。</x:v>
      </x:c>
      <x:c r="AO72" t="str">
        <x:v>Dexterous Hand; Contact Reasoning / Language-guided Grasp</x:v>
      </x:c>
      <x:c r="AP72" t="str">
        <x:v>B</x:v>
      </x:c>
      <x:c r="AQ72"/>
      <x:c r="AR72" t="str">
        <x:v>Unknown / Not Explicitly Reported in the currently accessible sources.</x:v>
      </x:c>
      <x:c r="AS72" t="str">
        <x:v>Unknown / Not Explicitly Reported in the currently accessible sources.</x:v>
      </x:c>
      <x:c r="AT72" t="str">
        <x:v>https://openalex.org/W7125566978</x:v>
      </x:c>
      <x:c r="AU72" t="str">
        <x:v>https://openaccess.thecvf.com/content/CVPR2026/html/Lee_DextER_Language-driven_Dexterous_Grasp_Generation_with_Embodied_Reasoning_CVPR_2026_paper.html；官方摘要/论文集元数据</x:v>
      </x:c>
      <x:c r="AV72" t="str">
        <x:v>B-Fulltext-Unavailable</x:v>
      </x:c>
      <x:c r="AW72" t="str">
        <x:v>Not Found</x:v>
      </x:c>
      <x:c r="AX72" t="str">
        <x:v>Mostly Complete</x:v>
      </x:c>
      <x:c r="AY72" t="str">
        <x:v>Unknown</x:v>
      </x:c>
      <x:c r="AZ72" t="str">
        <x:v>https://openaccess.thecvf.com/content/CVPR2026/papers/Lee_DextER_Language-driven_Dexterous_Grasp_Generation_with_Embodied_Reasoning_CVPR_2026_paper.pdf</x:v>
      </x:c>
      <x:c r="BA72" t="str">
        <x:v>No</x:v>
      </x:c>
      <x:c r="BB72" t="str">
        <x:v>No</x:v>
      </x:c>
      <x:c r="BC72" t="str">
        <x:v>No</x:v>
      </x:c>
      <x:c r="BD72" t="str">
        <x:v>No</x:v>
      </x:c>
      <x:c r="BE72" t="str">
        <x:v>No</x:v>
      </x:c>
      <x:c r="BF72" t="str">
        <x:v>No</x:v>
      </x:c>
      <x:c r="BG72" t="str">
        <x:v>No</x:v>
      </x:c>
      <x:c r="BH72" t="str">
        <x:v>Matched</x:v>
      </x:c>
      <x:c r="BI72" t="str">
        <x:v>Not Found After Verification</x:v>
      </x:c>
      <x:c r="BJ72" t="str">
        <x:v>Not Found After Verification</x:v>
      </x:c>
      <x:c r="BK72" t="str">
        <x:v>Audit logged - deep extraction pending</x:v>
      </x:c>
      <x:c r="BL72" t="str">
        <x:v>false</x:v>
      </x:c>
      <x:c r="BM72"/>
      <x:c r="BN72" t="str">
        <x:v>研究问题：语言驱动的灵巧抓取要同时理解任务语义、三维几何和接触关系。；之前方法的问题：只预测抓取位姿未必符合语言中隐含的使用目的。；核心思路：DextER 在抓取生成中加入基于接触的具身推理，使手部接触与任务意图对齐。；数据集与评测基准：DexGYS。；为什么重要：将语言 Grounding 与可执行接触联系起来。；与当前项目的关系：Medium：普通夹爪也需要意图对齐，但手部接触自由度不同。；主要局限：从多指接触迁移到两只普通夹爪需重新定义动作空间。</x:v>
      </x:c>
      <x:c r="BO72" t="str">
        <x:v>只预测抓取位姿未必符合语言中隐含的使用目的。</x:v>
      </x:c>
      <x:c r="BP72" t="str">
        <x:v>DextER 在抓取生成中加入基于接触的具身推理，使手部接触与任务意图对齐。</x:v>
      </x:c>
      <x:c r="BQ72"/>
      <x:c r="BR72" t="str">
        <x:v>卡片记录 DexGYS 成功率 67.14%，较所比较 SOTA 高 3.83 个百分点。</x:v>
      </x:c>
      <x:c r="BS72" t="str">
        <x:v>将语言 Grounding 与可执行接触联系起来。</x:v>
      </x:c>
      <x:c r="BT72" t="str">
        <x:v>从多指接触迁移到两只普通夹爪需重新定义动作空间。</x:v>
      </x:c>
      <x:c r="BU72"/>
      <x:c r="BV72" t="str">
        <x:v>Medium：普通夹爪也需要意图对齐，但手部接触自由度不同。</x:v>
      </x:c>
      <x:c r="BW72" t="str">
        <x:v>官方摘要/论文页; https://openaccess.thecvf.com/content/CVPR2026/html/Lee_DextER_Language-driven_Dexterous_Grasp_Generation_with_Embodied_Reasoning_CVPR_2026_paper.html; 核验于 2026-09-23. 仅为摘要级速读；原 Evidence Quality 不变。 - 核验层级：摘要有可追溯来源</x:v>
      </x:c>
      <x:c r="BX72" t="str">
        <x:v>title</x:v>
      </x:c>
      <x:c r="BY72" t="n">
        <x:v>0</x:v>
      </x:c>
      <x:c r="BZ72" t="n">
        <x:v>0</x:v>
      </x:c>
    </x:row>
    <x:row r="73" ht="58" customHeight="1">
      <x:c r="A73" t="str">
        <x:v>D072</x:v>
      </x:c>
      <x:c r="B73" t="str">
        <x:v>SpatialVLA: Exploring Spatial Representations for Visual-Language-Action Models</x:v>
      </x:c>
      <x:c r="C73" t="n">
        <x:v>2025</x:v>
      </x:c>
      <x:c r="D73" t="str">
        <x:v>Method Paper</x:v>
      </x:c>
      <x:c r="E73" t="str">
        <x:v>RSS</x:v>
      </x:c>
      <x:c r="F73" t="str">
        <x:v>正式主会论文：官方论文集核实</x:v>
      </x:c>
      <x:c r="G73" t="str">
        <x:v>Not CCF A (robotics venue extension; CCF row not asserted)</x:v>
      </x:c>
      <x:c r="H73" t="str">
        <x:v>VLA / Robot Foundation Models</x:v>
      </x:c>
      <x:c r="I73" t="str">
        <x:v>Spatial Representation / Action Tokenization</x:v>
      </x:c>
      <x:c r="J73" t="str">
        <x:v>VLA; Spatial Representation / Action Tokenization</x:v>
      </x:c>
      <x:c r="K73" t="e">
        <x:f>HYPERLINK("https://www.roboticsproceedings.org/rss21/p011.html","论文")</x:f>
        <x:v>HYPERLINK is not implemented. linkLocation=https://www.roboticsproceedings.org/rss21/p011.html, friendlyName=论文</x:v>
      </x:c>
      <x:c r="L73"/>
      <x:c r="M73" t="e">
        <x:f>HYPERLINK("https://spatialvla.github.io/","Project")</x:f>
        <x:v>HYPERLINK is not implemented. linkLocation=https://spatialvla.github.io/, friendlyName=Project</x:v>
      </x:c>
      <x:c r="N73" t="e">
        <x:f>HYPERLINK("https://github.com/SpatialVLA/SpatialVLA","GitHub")</x:f>
        <x:v>HYPERLINK is not implemented. linkLocation=https://github.com/SpatialVLA/SpatialVLA, friendlyName=GitHub</x:v>
      </x:c>
      <x:c r="O73" t="str">
        <x:v>Released</x:v>
      </x:c>
      <x:c r="P73" t="str">
        <x:v>提供OXE处理与自定义数据说明；未核实全部训练混合的再发布范围</x:v>
      </x:c>
      <x:c r="Q73" t="str">
        <x:v>https://huggingface.co/collections/IPEC-COMMUNITY/foundation-vision-language-action-model-6795eb96a9c661f90236acbb（作者入口/说明；未验证权重文件可下载或可用性）</x:v>
      </x:c>
      <x:c r="R73" t="str">
        <x:v>Unknown</x:v>
      </x:c>
      <x:c r="S73" t="str">
        <x:v>Single Arm / Parallel Gripper</x:v>
      </x:c>
      <x:c r="T73" t="str">
        <x:v>Cross-Venue official proceedings audit</x:v>
      </x:c>
      <x:c r="U73" t="str">
        <x:v>P1</x:v>
      </x:c>
      <x:c r="V73" t="str">
        <x:v>正式venue为RSS 2025，不是CVPR/ICML。RSS当前CCF目录等级未成功从官方核实，故仅作扩展候选；不擅自标A或Not_CCF_A。 Static checks only; no cloning/running or download.</x:v>
      </x:c>
      <x:c r="W73" t="str">
        <x:v>Official Verified</x:v>
      </x:c>
      <x:c r="X73" t="str">
        <x:v>2026-09-18</x:v>
      </x:c>
      <x:c r="Y73" t="str">
        <x:v>VLA</x:v>
      </x:c>
      <x:c r="Z73" t="str">
        <x:v>02_Papers/01_VLA/SpatialVLA.md</x:v>
      </x:c>
      <x:c r="AA73" t="n">
        <x:v>41</x:v>
      </x:c>
      <x:c r="AB73" t="str">
        <x:v>OpenAlex</x:v>
      </x:c>
      <x:c r="AC73" t="str">
        <x:v>2026-09-25</x:v>
      </x:c>
      <x:c r="AD73" t="str">
        <x:v>机器人操作需要把视觉与语言理解落实到三维空间关系。</x:v>
      </x:c>
      <x:c r="AE73" t="str">
        <x:v>Unknown / Needs Full-Paper Verification</x:v>
      </x:c>
      <x:c r="AF73" t="str">
        <x:v>Unknown / Needs Full-Paper Verification</x:v>
      </x:c>
      <x:c r="AG73" t="str">
        <x:v>已核验摘要未明确说明；需查阅论文方法与实验章节。</x:v>
      </x:c>
      <x:c r="AH73" t="str">
        <x:v>Unknown / Needs Full-Paper Verification</x:v>
      </x:c>
      <x:c r="AI73" t="str">
        <x:v>Unknown / Needs Full-Paper Verification</x:v>
      </x:c>
      <x:c r="AJ73" t="str">
        <x:v>Unknown / Needs Full-Paper Verification</x:v>
      </x:c>
      <x:c r="AK73" t="str">
        <x:v>作者报告较好的分布内泛化和分布外适配；具体比较数字见论文。</x:v>
      </x:c>
      <x:c r="AL73" t="str">
        <x:v>Unknown / Needs Full-Paper Verification</x:v>
      </x:c>
      <x:c r="AM73" t="str">
        <x:v>Library Analysis / Research Note: Unknown / Needs Full-Paper Verification</x:v>
      </x:c>
      <x:c r="AN73" t="str">
        <x:v>Unknown / Needs Project-Specific Review</x:v>
      </x:c>
      <x:c r="AO73" t="str">
        <x:v>Unknown</x:v>
      </x:c>
      <x:c r="AP73" t="str">
        <x:v>B</x:v>
      </x:c>
      <x:c r="AQ73"/>
      <x:c r="AR73" t="str">
        <x:v>Unknown / Not Explicitly Reported in the currently accessible sources.</x:v>
      </x:c>
      <x:c r="AS73" t="str">
        <x:v>Unknown / Not Explicitly Reported in the currently accessible sources.</x:v>
      </x:c>
      <x:c r="AT73" t="str">
        <x:v>https://openalex.org/W4414051092</x:v>
      </x:c>
      <x:c r="AU73" t="str">
        <x:v>Unknown</x:v>
      </x:c>
      <x:c r="AV73" t="str">
        <x:v>B-Fulltext-Unavailable</x:v>
      </x:c>
      <x:c r="AW73" t="str">
        <x:v>Not Found</x:v>
      </x:c>
      <x:c r="AX73" t="str">
        <x:v>Mostly Complete</x:v>
      </x:c>
      <x:c r="AY73" t="str">
        <x:v>Unknown</x:v>
      </x:c>
      <x:c r="AZ73" t="str">
        <x:v>https://www.roboticsproceedings.org/rss21/p011.pdf</x:v>
      </x:c>
      <x:c r="BA73" t="str">
        <x:v>No</x:v>
      </x:c>
      <x:c r="BB73" t="str">
        <x:v>No</x:v>
      </x:c>
      <x:c r="BC73" t="str">
        <x:v>No</x:v>
      </x:c>
      <x:c r="BD73" t="str">
        <x:v>No</x:v>
      </x:c>
      <x:c r="BE73" t="str">
        <x:v>No</x:v>
      </x:c>
      <x:c r="BF73" t="str">
        <x:v>No</x:v>
      </x:c>
      <x:c r="BG73" t="str">
        <x:v>No</x:v>
      </x:c>
      <x:c r="BH73" t="str">
        <x:v>Matched</x:v>
      </x:c>
      <x:c r="BI73" t="str">
        <x:v>Not Found After Verification</x:v>
      </x:c>
      <x:c r="BJ73" t="str">
        <x:v>Not Found After Verification</x:v>
      </x:c>
      <x:c r="BK73" t="str">
        <x:v>Audit logged - deep extraction pending</x:v>
      </x:c>
      <x:c r="BL73" t="str">
        <x:v>false</x:v>
      </x:c>
      <x:c r="BM73"/>
      <x:c r="BN73" t="str">
        <x:v>研究问题：机器人操作需要把视觉与语言理解落实到三维空间关系。；之前方法的问题：普通 VLA 的视觉 token 可能缺少显式三维位置线索。；核心思路：SpatialVLA 加入 Ego3D Position Encoding，使空间信息参与 VLA 输入和动作预测。；主要结果：作者报告较好的分布内泛化和分布外适配；具体比较数字见论文。；为什么重要：为 VLA 的三维 Grounding 提供明确的表示方案。；与当前项目的关系：High：双臂普通夹爪需要准确的目标与相对位姿。；主要局限：需要检验相机标定变化与遮挡下的稳健性。</x:v>
      </x:c>
      <x:c r="BO73" t="str">
        <x:v>普通 VLA 的视觉 token 可能缺少显式三维位置线索。</x:v>
      </x:c>
      <x:c r="BP73" t="str">
        <x:v>SpatialVLA 加入 Ego3D Position Encoding，使空间信息参与 VLA 输入和动作预测。</x:v>
      </x:c>
      <x:c r="BQ73"/>
      <x:c r="BR73" t="str">
        <x:v>作者报告较好的分布内泛化和分布外适配；具体比较数字见论文。</x:v>
      </x:c>
      <x:c r="BS73" t="str">
        <x:v>为 VLA 的三维 Grounding 提供明确的表示方案。</x:v>
      </x:c>
      <x:c r="BT73" t="str">
        <x:v>需要检验相机标定变化与遮挡下的稳健性。</x:v>
      </x:c>
      <x:c r="BU73"/>
      <x:c r="BV73" t="str">
        <x:v>High：双臂普通夹爪需要准确的目标与相对位姿。</x:v>
      </x:c>
      <x:c r="BW73" t="str">
        <x:v>官方摘要/论文页; https://arxiv.org/html/2501.15830; 核验于 2026-09-23. 仅为摘要级速读；原 Evidence Quality 不变。 - 核验层级：摘要有可追溯来源</x:v>
      </x:c>
      <x:c r="BX73" t="str">
        <x:v>final-title</x:v>
      </x:c>
      <x:c r="BY73" t="n">
        <x:v>8</x:v>
      </x:c>
      <x:c r="BZ73" t="n">
        <x:v>0</x:v>
      </x:c>
    </x:row>
    <x:row r="74" ht="58" customHeight="1">
      <x:c r="A74" t="str">
        <x:v>D073</x:v>
      </x:c>
      <x:c r="B74" t="str">
        <x:v>OpenVLA: An Open-Source Vision-Language-Action Model</x:v>
      </x:c>
      <x:c r="C74" t="n">
        <x:v>2024</x:v>
      </x:c>
      <x:c r="D74" t="str">
        <x:v>Method Paper</x:v>
      </x:c>
      <x:c r="E74" t="str">
        <x:v>CoRL</x:v>
      </x:c>
      <x:c r="F74" t="str">
        <x:v>Formal CoRL 2024; PMLR volume 270 online 2025</x:v>
      </x:c>
      <x:c r="G74" t="str">
        <x:v>Not CCF A (robotics venue extension)</x:v>
      </x:c>
      <x:c r="H74" t="str">
        <x:v>VLA / Robot Foundation Models; Robot Manipulation / IL / Diffusion</x:v>
      </x:c>
      <x:c r="I74" t="str">
        <x:v>Open VLA / Fine-tuning / Open X-Embodiment</x:v>
      </x:c>
      <x:c r="J74" t="str">
        <x:v>OpenVLA; VLA; fine-tuning; Open X-Embodiment</x:v>
      </x:c>
      <x:c r="K74" t="e">
        <x:f>HYPERLINK("https://proceedings.mlr.press/v270/kim24e.html","论文")</x:f>
        <x:v>HYPERLINK is not implemented. linkLocation=https://proceedings.mlr.press/v270/kim24e.html, friendlyName=论文</x:v>
      </x:c>
      <x:c r="L74"/>
      <x:c r="M74" t="e">
        <x:f>HYPERLINK("https://openvla.github.io/","Project")</x:f>
        <x:v>HYPERLINK is not implemented. linkLocation=https://openvla.github.io/, friendlyName=Project</x:v>
      </x:c>
      <x:c r="N74" t="e">
        <x:f>HYPERLINK("https://github.com/openvla/openvla","GitHub")</x:f>
        <x:v>HYPERLINK is not implemented. linkLocation=https://github.com/openvla/openvla, friendlyName=GitHub</x:v>
      </x:c>
      <x:c r="O74" t="str">
        <x:v>Released</x:v>
      </x:c>
      <x:c r="P74" t="str">
        <x:v>Partial (Open X-Embodiment sources; not downloaded)</x:v>
      </x:c>
      <x:c r="Q74" t="str">
        <x:v>Author checkpoint links; not downloaded</x:v>
      </x:c>
      <x:c r="R74" t="str">
        <x:v>Yes</x:v>
      </x:c>
      <x:c r="S74" t="str">
        <x:v>Single Arm / Parallel Gripper</x:v>
      </x:c>
      <x:c r="T74" t="str">
        <x:v>PMLR CoRL Proceedings</x:v>
      </x:c>
      <x:c r="U74" t="str">
        <x:v>P0</x:v>
      </x:c>
      <x:c r="V74" t="str">
        <x:v>Core public VLA baseline; platform and precise real-robot protocol require follow-up reading.</x:v>
      </x:c>
      <x:c r="W74" t="str">
        <x:v>Cross-Verified</x:v>
      </x:c>
      <x:c r="X74" t="str">
        <x:v>2026-09-18</x:v>
      </x:c>
      <x:c r="Y74" t="str">
        <x:v>VLA</x:v>
      </x:c>
      <x:c r="Z74" t="str">
        <x:v>02_Papers/01_VLA/OpenVLA.md</x:v>
      </x:c>
      <x:c r="AA74" t="n">
        <x:v>43</x:v>
      </x:c>
      <x:c r="AB74" t="str">
        <x:v>OpenAlex</x:v>
      </x:c>
      <x:c r="AC74" t="str">
        <x:v>2026-09-25</x:v>
      </x:c>
      <x:c r="AD74" t="str">
        <x:v>现有 VLA 多为闭源，且针对新任务高效微调的方法仍不充分。</x:v>
      </x:c>
      <x:c r="AE74" t="str">
        <x:v>Unknown / Needs Full-Paper Verification</x:v>
      </x:c>
      <x:c r="AF74" t="str">
        <x:v>Unknown / Needs Full-Paper Verification</x:v>
      </x:c>
      <x:c r="AG74" t="str">
        <x:v>训练使用整理后的 Open X-Embodiment 混合数据，约 97 万条真机轨迹；DROID 在后期训练数据中被剔除，详见原卡。</x:v>
      </x:c>
      <x:c r="AH74" t="str">
        <x:v>Unknown / Needs Full-Paper Verification</x:v>
      </x:c>
      <x:c r="AI74" t="str">
        <x:v>Unknown / Needs Full-Paper Verification</x:v>
      </x:c>
      <x:c r="AJ74" t="str">
        <x:v>Unknown / Needs Full-Paper Verification</x:v>
      </x:c>
      <x:c r="AK74" t="str">
        <x:v>Unknown / Needs Full-Paper Verification</x:v>
      </x:c>
      <x:c r="AL74" t="str">
        <x:v>Unknown / Needs Full-Paper Verification</x:v>
      </x:c>
      <x:c r="AM74" t="str">
        <x:v>Library Analysis / Research Note: Unknown / Needs Full-Paper Verification</x:v>
      </x:c>
      <x:c r="AN74" t="str">
        <x:v>Unknown / Needs Project-Specific Review</x:v>
      </x:c>
      <x:c r="AO74" t="str">
        <x:v>Unknown</x:v>
      </x:c>
      <x:c r="AP74" t="str">
        <x:v>A</x:v>
      </x:c>
      <x:c r="AQ74"/>
      <x:c r="AR74" t="str">
        <x:v>Unknown / Not Explicitly Reported in the currently accessible sources.</x:v>
      </x:c>
      <x:c r="AS74" t="str">
        <x:v>Unknown / Not Explicitly Reported in the currently accessible sources.</x:v>
      </x:c>
      <x:c r="AT74" t="str">
        <x:v>https://openalex.org/W4399695759</x:v>
      </x:c>
      <x:c r="AU74" t="str">
        <x:v>Unknown</x:v>
      </x:c>
      <x:c r="AV74" t="str">
        <x:v>A-Upgraded</x:v>
      </x:c>
      <x:c r="AW74" t="str">
        <x:v>Not Found</x:v>
      </x:c>
      <x:c r="AX74" t="str">
        <x:v>Mostly Complete</x:v>
      </x:c>
      <x:c r="AY74" t="str">
        <x:v>Unknown</x:v>
      </x:c>
      <x:c r="AZ74" t="str">
        <x:v>https://raw.githubusercontent.com/mlresearch/v270/main/assets/kim25c/kim25c.pdf</x:v>
      </x:c>
      <x:c r="BA74" t="str">
        <x:v>No</x:v>
      </x:c>
      <x:c r="BB74" t="str">
        <x:v>No</x:v>
      </x:c>
      <x:c r="BC74" t="str">
        <x:v>No</x:v>
      </x:c>
      <x:c r="BD74" t="str">
        <x:v>No</x:v>
      </x:c>
      <x:c r="BE74" t="str">
        <x:v>No</x:v>
      </x:c>
      <x:c r="BF74" t="str">
        <x:v>No</x:v>
      </x:c>
      <x:c r="BG74" t="str">
        <x:v>No</x:v>
      </x:c>
      <x:c r="BH74" t="str">
        <x:v>Matched</x:v>
      </x:c>
      <x:c r="BI74" t="str">
        <x:v>Not Found After Verification</x:v>
      </x:c>
      <x:c r="BJ74" t="str">
        <x:v>Not Found After Verification</x:v>
      </x:c>
      <x:c r="BK74" t="str">
        <x:v>Audit logged - deep extraction pending</x:v>
      </x:c>
      <x:c r="BL74" t="str">
        <x:v>false</x:v>
      </x:c>
      <x:c r="BM74"/>
      <x:c r="BN74" t="str">
        <x:v>研究问题：现有 VLA 多为闭源，且针对新任务高效微调的方法仍不充分。；之前方法的问题：既有 VLA 多为闭源，新任务的高效微调方法也缺少系统评估。；核心思路：OpenVLA 是开放的 7B VLA，在约 97 万条真实机器人轨迹上训练，支持通过微调适配新任务。；输入：机器人相机图像和语言任务指令；具体预处理见论文方法及官方代码。；输出与动作：预测机器人控制动作；动作编码与本体适配以官方代码和论文方法为准。；数据集与评测基准：训练使用整理后的 Open X-Embodiment 混合数据，约 97 万条真机轨迹；DROID 在后期训练数据中被剔除，详见原卡。；为什么重要：提供可复用的 VLA 基线，同时明确了数据、算力和推理速度代价。；与当前项目的关系：High：有助于研究语言条件操作与 VLA 设计。；主要局限：作者指出训练数据偏单臂、第三人称视角且算力成本高；双臂/移动平台迁移仍需单独验证。</x:v>
      </x:c>
      <x:c r="BO74" t="str">
        <x:v>既有 VLA 多为闭源，新任务的高效微调方法也缺少系统评估。</x:v>
      </x:c>
      <x:c r="BP74" t="str">
        <x:v>OpenVLA 是开放的 7B VLA，在约 97 万条真实机器人轨迹上训练，支持通过微调适配新任务。</x:v>
      </x:c>
      <x:c r="BQ74"/>
      <x:c r="BR74" t="str">
        <x:v>卡片记录在 29 项任务/本体评测中相对 55B RT-2-X 的成功率高 16.5 个百分点；微调设置下相对 Diffusion Policy 高 20.4 个百分点。推理约 6 Hz（RTX 4090）；比较条件详见原卡。</x:v>
      </x:c>
      <x:c r="BS74" t="str">
        <x:v>提供可复用的 VLA 基线，同时明确了数据、算力和推理速度代价。</x:v>
      </x:c>
      <x:c r="BT74" t="str">
        <x:v>作者指出训练数据偏单臂、第三人称视角且算力成本高；双臂/移动平台迁移仍需单独验证。</x:v>
      </x:c>
      <x:c r="BU74"/>
      <x:c r="BV74" t="str">
        <x:v>High：有助于研究语言条件操作与 VLA 设计。</x:v>
      </x:c>
      <x:c r="BW74" t="str">
        <x:v>官方摘要/论文页; https://arxiv.org/html/2406.09246; 核验于 2026-09-23. 仅为摘要级速读；原 Evidence Quality 不变。 - 核验层级：摘要有可追溯来源</x:v>
      </x:c>
      <x:c r="BX74" t="str">
        <x:v>final-pdf-author</x:v>
      </x:c>
      <x:c r="BY74" t="n">
        <x:v>3</x:v>
      </x:c>
      <x:c r="BZ74" t="n">
        <x:v>19</x:v>
      </x:c>
    </x:row>
    <x:row r="75" ht="58" customHeight="1">
      <x:c r="A75" t="str">
        <x:v>D074</x:v>
      </x:c>
      <x:c r="B75" t="str">
        <x:v>Octo: An Open-Source Generalist Robot Policy</x:v>
      </x:c>
      <x:c r="C75" t="n">
        <x:v>2024</x:v>
      </x:c>
      <x:c r="D75" t="str">
        <x:v>Method Paper</x:v>
      </x:c>
      <x:c r="E75" t="str">
        <x:v>RSS</x:v>
      </x:c>
      <x:c r="F75" t="str">
        <x:v>Formal RSS 2024 proceedings</x:v>
      </x:c>
      <x:c r="G75" t="str">
        <x:v>Not CCF A (robotics venue extension)</x:v>
      </x:c>
      <x:c r="H75" t="str">
        <x:v>VLA / Robot Foundation Models; Robot Manipulation / IL / Diffusion</x:v>
      </x:c>
      <x:c r="I75" t="str">
        <x:v>Generalist Policy / Open X-Embodiment</x:v>
      </x:c>
      <x:c r="J75" t="str">
        <x:v>Octo; generalist robot policy; Open X-Embodiment; fine-tuning</x:v>
      </x:c>
      <x:c r="K75" t="e">
        <x:f>HYPERLINK("https://roboticsproceedings.org/rss20/p090.html","论文")</x:f>
        <x:v>HYPERLINK is not implemented. linkLocation=https://roboticsproceedings.org/rss20/p090.html, friendlyName=论文</x:v>
      </x:c>
      <x:c r="L75"/>
      <x:c r="M75" t="e">
        <x:f>HYPERLINK("https://octo-models.github.io/","Project")</x:f>
        <x:v>HYPERLINK is not implemented. linkLocation=https://octo-models.github.io/, friendlyName=Project</x:v>
      </x:c>
      <x:c r="N75" t="e">
        <x:f>HYPERLINK("https://github.com/octo-models/octo","GitHub")</x:f>
        <x:v>HYPERLINK is not implemented. linkLocation=https://github.com/octo-models/octo, friendlyName=GitHub</x:v>
      </x:c>
      <x:c r="O75" t="str">
        <x:v>Released</x:v>
      </x:c>
      <x:c r="P75" t="str">
        <x:v>Partial (trained on OXE; not downloaded)</x:v>
      </x:c>
      <x:c r="Q75" t="str">
        <x:v>Author checkpoints; not downloaded</x:v>
      </x:c>
      <x:c r="R75" t="str">
        <x:v>Mixed</x:v>
      </x:c>
      <x:c r="S75" t="str">
        <x:v>Multi-Embodiment / Parallel Gripper</x:v>
      </x:c>
      <x:c r="T75" t="str">
        <x:v>RSS Official Proceedings</x:v>
      </x:c>
      <x:c r="U75" t="str">
        <x:v>P0</x:v>
      </x:c>
      <x:c r="V75" t="str">
        <x:v>Official RSS paper reports training over 800K trajectories and evaluation across nine robot platforms.</x:v>
      </x:c>
      <x:c r="W75" t="str">
        <x:v>Official Verified</x:v>
      </x:c>
      <x:c r="X75" t="str">
        <x:v>2026-09-18</x:v>
      </x:c>
      <x:c r="Y75" t="str">
        <x:v>VLA</x:v>
      </x:c>
      <x:c r="Z75" t="str">
        <x:v>02_Papers/01_VLA/Octo.md</x:v>
      </x:c>
      <x:c r="AA75" t="n">
        <x:v>102</x:v>
      </x:c>
      <x:c r="AB75" t="str">
        <x:v>OpenAlex</x:v>
      </x:c>
      <x:c r="AC75" t="str">
        <x:v>2026-09-25</x:v>
      </x:c>
      <x:c r="AD75" t="str">
        <x:v>通用机器人策略需要同时适配不同相机、动作空间和机器人平台。</x:v>
      </x:c>
      <x:c r="AE75" t="str">
        <x:v>Unknown / Needs Full-Paper Verification</x:v>
      </x:c>
      <x:c r="AF75" t="str">
        <x:v>Unknown / Needs Full-Paper Verification</x:v>
      </x:c>
      <x:c r="AG75" t="str">
        <x:v>从 Open X-Embodiment 整理约 80 万条训练轨迹，在 9 种机器人平台和多项下游任务上评估。</x:v>
      </x:c>
      <x:c r="AH75" t="str">
        <x:v>Unknown / Needs Full-Paper Verification</x:v>
      </x:c>
      <x:c r="AI75" t="str">
        <x:v>Unknown / Needs Full-Paper Verification</x:v>
      </x:c>
      <x:c r="AJ75" t="str">
        <x:v>Unknown / Needs Full-Paper Verification</x:v>
      </x:c>
      <x:c r="AK75" t="str">
        <x:v>论文在 9 种机器人平台上评测，表明 Octo 可迁移到新的观测和动作空间；具体成功率见原卡实验表。</x:v>
      </x:c>
      <x:c r="AL75" t="str">
        <x:v>Unknown / Needs Full-Paper Verification</x:v>
      </x:c>
      <x:c r="AM75" t="str">
        <x:v>Library Analysis / Research Note: Unknown / Needs Full-Paper Verification</x:v>
      </x:c>
      <x:c r="AN75" t="str">
        <x:v>Unknown / Needs Project-Specific Review</x:v>
      </x:c>
      <x:c r="AO75" t="str">
        <x:v>Unknown</x:v>
      </x:c>
      <x:c r="AP75" t="str">
        <x:v>A</x:v>
      </x:c>
      <x:c r="AQ75"/>
      <x:c r="AR75" t="str">
        <x:v>Unknown / Not Explicitly Reported in the currently accessible sources.</x:v>
      </x:c>
      <x:c r="AS75" t="str">
        <x:v>Unknown / Not Explicitly Reported in the currently accessible sources.</x:v>
      </x:c>
      <x:c r="AT75" t="str">
        <x:v>https://openalex.org/W4402353985</x:v>
      </x:c>
      <x:c r="AU75" t="str">
        <x:v>Unknown</x:v>
      </x:c>
      <x:c r="AV75" t="str">
        <x:v>A-Upgraded</x:v>
      </x:c>
      <x:c r="AW75" t="str">
        <x:v>Not Found</x:v>
      </x:c>
      <x:c r="AX75" t="str">
        <x:v>Mostly Complete</x:v>
      </x:c>
      <x:c r="AY75" t="str">
        <x:v>Unknown</x:v>
      </x:c>
      <x:c r="AZ75" t="str">
        <x:v>https://roboticsproceedings.org/rss20/p090.pdf</x:v>
      </x:c>
      <x:c r="BA75" t="str">
        <x:v>No</x:v>
      </x:c>
      <x:c r="BB75" t="str">
        <x:v>No</x:v>
      </x:c>
      <x:c r="BC75" t="str">
        <x:v>No</x:v>
      </x:c>
      <x:c r="BD75" t="str">
        <x:v>No</x:v>
      </x:c>
      <x:c r="BE75" t="str">
        <x:v>No</x:v>
      </x:c>
      <x:c r="BF75" t="str">
        <x:v>No</x:v>
      </x:c>
      <x:c r="BG75" t="str">
        <x:v>No</x:v>
      </x:c>
      <x:c r="BH75" t="str">
        <x:v>Matched</x:v>
      </x:c>
      <x:c r="BI75" t="str">
        <x:v>Not Found After Verification</x:v>
      </x:c>
      <x:c r="BJ75" t="str">
        <x:v>Not Found After Verification</x:v>
      </x:c>
      <x:c r="BK75" t="str">
        <x:v>Audit logged - deep extraction pending</x:v>
      </x:c>
      <x:c r="BL75" t="str">
        <x:v>false</x:v>
      </x:c>
      <x:c r="BM75"/>
      <x:c r="BN75" t="str">
        <x:v>研究问题：通用机器人策略需要同时适配不同相机、动作空间和机器人平台。；之前方法的问题：各机器人平台的相机、动作空间与任务不同，单一策略难以直接跨平台使用。；核心思路：Octo 在 Open X-Embodiment 约 80 万条轨迹上训练 Transformer 策略，并提供可微调的通用初始化。；数据集与评测基准：从 Open X-Embodiment 整理约 80 万条训练轨迹，在 9 种机器人平台和多项下游任务上评估。；主要结果：论文在 9 种机器人平台上评测，表明 Octo 可迁移到新的观测和动作空间；具体成功率见原卡实验表。；为什么重要：是研究共享机器人数据与跨本体微调的重要开放基线。；与当前项目的关系：High：有助于研究语言条件操作与 VLA 设计。；主要局限：训练数据的腕部相机和语言覆盖不均；评测主要在论文列出的单臂/双臂平台。</x:v>
      </x:c>
      <x:c r="BO75" t="str">
        <x:v>各机器人平台的相机、动作空间与任务不同，单一策略难以直接跨平台使用。</x:v>
      </x:c>
      <x:c r="BP75" t="str">
        <x:v>Octo 在 Open X-Embodiment 约 80 万条轨迹上训练 Transformer 策略，并提供可微调的通用初始化。</x:v>
      </x:c>
      <x:c r="BQ75"/>
      <x:c r="BR75" t="str">
        <x:v>论文在 9 种机器人平台上评测，表明 Octo 可迁移到新的观测和动作空间；具体成功率见原卡实验表。</x:v>
      </x:c>
      <x:c r="BS75" t="str">
        <x:v>是研究共享机器人数据与跨本体微调的重要开放基线。</x:v>
      </x:c>
      <x:c r="BT75" t="str">
        <x:v>训练数据的腕部相机和语言覆盖不均；评测主要在论文列出的单臂/双臂平台。</x:v>
      </x:c>
      <x:c r="BU75"/>
      <x:c r="BV75" t="str">
        <x:v>High：有助于研究语言条件操作与 VLA 设计。</x:v>
      </x:c>
      <x:c r="BW75" t="str">
        <x:v>官方摘要/论文页; https://arxiv.org/html/2405.12213; 核验于 2026-09-23. 仅为摘要级速读；原 Evidence Quality 不变。 - 核验层级：摘要有可追溯来源</x:v>
      </x:c>
      <x:c r="BX75" t="str">
        <x:v>final-title</x:v>
      </x:c>
      <x:c r="BY75" t="n">
        <x:v>2</x:v>
      </x:c>
      <x:c r="BZ75" t="n">
        <x:v>18</x:v>
      </x:c>
    </x:row>
    <x:row r="76" ht="58" customHeight="1">
      <x:c r="A76" t="str">
        <x:v>D075</x:v>
      </x:c>
      <x:c r="B76" t="str">
        <x:v>DROID: A Large-Scale In-The-Wild Robot Manipulation Dataset</x:v>
      </x:c>
      <x:c r="C76" t="n">
        <x:v>2024</x:v>
      </x:c>
      <x:c r="D76" t="str">
        <x:v>Dataset / Benchmark</x:v>
      </x:c>
      <x:c r="E76" t="str">
        <x:v>RSS</x:v>
      </x:c>
      <x:c r="F76" t="str">
        <x:v>Formal RSS 2024 proceedings</x:v>
      </x:c>
      <x:c r="G76" t="str">
        <x:v>Not CCF A (robotics venue extension)</x:v>
      </x:c>
      <x:c r="H76" t="str">
        <x:v>Dataset / Benchmark; Robot Manipulation / IL / Diffusion</x:v>
      </x:c>
      <x:c r="I76" t="str">
        <x:v>Real-World Demonstrations / Data Diversity</x:v>
      </x:c>
      <x:c r="J76" t="str">
        <x:v>DROID; robot dataset; teleoperation demonstrations; real world</x:v>
      </x:c>
      <x:c r="K76" t="e">
        <x:f>HYPERLINK("https://roboticsproceedings.org/rss20/p120.html","论文")</x:f>
        <x:v>HYPERLINK is not implemented. linkLocation=https://roboticsproceedings.org/rss20/p120.html, friendlyName=论文</x:v>
      </x:c>
      <x:c r="L76"/>
      <x:c r="M76"/>
      <x:c r="N76" t="e">
        <x:f>HYPERLINK("https://github.com/droid-dataset/droid_policy_learning","GitHub")</x:f>
        <x:v>HYPERLINK is not implemented. linkLocation=https://github.com/droid-dataset/droid_policy_learning, friendlyName=GitHub</x:v>
      </x:c>
      <x:c r="O76" t="str">
        <x:v>Released</x:v>
      </x:c>
      <x:c r="P76" t="str">
        <x:v>Yes (access instructions; not downloaded)</x:v>
      </x:c>
      <x:c r="Q76"/>
      <x:c r="R76" t="str">
        <x:v>Yes</x:v>
      </x:c>
      <x:c r="S76" t="str">
        <x:v>Multi-Embodiment / Parallel Gripper</x:v>
      </x:c>
      <x:c r="T76" t="str">
        <x:v>RSS Official Proceedings</x:v>
      </x:c>
      <x:c r="U76" t="str">
        <x:v>P0</x:v>
      </x:c>
      <x:c r="V76" t="str">
        <x:v>Large real-robot demonstration dataset; download/access and license not reviewed.</x:v>
      </x:c>
      <x:c r="W76" t="str">
        <x:v>Official Verified</x:v>
      </x:c>
      <x:c r="X76" t="str">
        <x:v>2026-09-18</x:v>
      </x:c>
      <x:c r="Y76" t="str">
        <x:v>Benchmark / Dataset</x:v>
      </x:c>
      <x:c r="Z76" t="str">
        <x:v>02_Papers/10_Benchmark_Dataset/DROID.md</x:v>
      </x:c>
      <x:c r="AA76" t="n">
        <x:v>139</x:v>
      </x:c>
      <x:c r="AB76" t="str">
        <x:v>OpenAlex</x:v>
      </x:c>
      <x:c r="AC76" t="str">
        <x:v>2026-09-25</x:v>
      </x:c>
      <x:c r="AD76" t="str">
        <x:v>通用操作策略需要规模大、场景多样且质量可靠的机器人交互数据。</x:v>
      </x:c>
      <x:c r="AE76" t="str">
        <x:v>Unknown / Needs Full-Paper Verification</x:v>
      </x:c>
      <x:c r="AF76" t="str">
        <x:v>Unknown / Needs Full-Paper Verification</x:v>
      </x:c>
      <x:c r="AG76" t="str">
        <x:v>DROID：约 6.5 万条轨迹／350 小时、564 个场景、86 项任务，50 名采集人员在 12 个月内完成。</x:v>
      </x:c>
      <x:c r="AH76" t="str">
        <x:v>Unknown / Needs Full-Paper Verification</x:v>
      </x:c>
      <x:c r="AI76" t="str">
        <x:v>Unknown / Needs Full-Paper Verification</x:v>
      </x:c>
      <x:c r="AJ76" t="str">
        <x:v>Unknown / Needs Full-Paper Verification</x:v>
      </x:c>
      <x:c r="AK76" t="str">
        <x:v>论文摘要报告，使用 DROID 训练的策略在性能、鲁棒性和泛化上改善；此处不附加未经实验表格核实的增幅。</x:v>
      </x:c>
      <x:c r="AL76" t="str">
        <x:v>Unknown / Needs Full-Paper Verification</x:v>
      </x:c>
      <x:c r="AM76" t="str">
        <x:v>Library Analysis / Research Note: Unknown / Needs Full-Paper Verification</x:v>
      </x:c>
      <x:c r="AN76" t="str">
        <x:v>Unknown / Needs Project-Specific Review</x:v>
      </x:c>
      <x:c r="AO76" t="str">
        <x:v>Unknown</x:v>
      </x:c>
      <x:c r="AP76" t="str">
        <x:v>B</x:v>
      </x:c>
      <x:c r="AQ76"/>
      <x:c r="AR76" t="str">
        <x:v>Unknown / Not Explicitly Reported in the currently accessible sources.</x:v>
      </x:c>
      <x:c r="AS76" t="str">
        <x:v>Unknown / Not Explicitly Reported in the currently accessible sources.</x:v>
      </x:c>
      <x:c r="AT76" t="str">
        <x:v>https://openalex.org/W4402354047</x:v>
      </x:c>
      <x:c r="AU76" t="str">
        <x:v>Unknown</x:v>
      </x:c>
      <x:c r="AV76" t="str">
        <x:v>B-Fulltext-Unavailable</x:v>
      </x:c>
      <x:c r="AW76" t="str">
        <x:v>Not Found</x:v>
      </x:c>
      <x:c r="AX76" t="str">
        <x:v>Mostly Complete</x:v>
      </x:c>
      <x:c r="AY76" t="str">
        <x:v>Unknown</x:v>
      </x:c>
      <x:c r="AZ76" t="str">
        <x:v>https://roboticsproceedings.org/rss20/p120.pdf</x:v>
      </x:c>
      <x:c r="BA76" t="str">
        <x:v>No</x:v>
      </x:c>
      <x:c r="BB76" t="str">
        <x:v>No</x:v>
      </x:c>
      <x:c r="BC76" t="str">
        <x:v>No</x:v>
      </x:c>
      <x:c r="BD76" t="str">
        <x:v>No</x:v>
      </x:c>
      <x:c r="BE76" t="str">
        <x:v>No</x:v>
      </x:c>
      <x:c r="BF76" t="str">
        <x:v>No</x:v>
      </x:c>
      <x:c r="BG76" t="str">
        <x:v>No</x:v>
      </x:c>
      <x:c r="BH76" t="str">
        <x:v>Matched</x:v>
      </x:c>
      <x:c r="BI76" t="str">
        <x:v>Not Found After Verification</x:v>
      </x:c>
      <x:c r="BJ76" t="str">
        <x:v>Not Found After Verification</x:v>
      </x:c>
      <x:c r="BK76" t="str">
        <x:v>Audit logged - deep extraction pending</x:v>
      </x:c>
      <x:c r="BL76" t="str">
        <x:v>false</x:v>
      </x:c>
      <x:c r="BM76"/>
      <x:c r="BN76" t="str">
        <x:v>研究问题：通用操作策略需要规模大、场景多样且质量可靠的机器人交互数据。；之前方法的问题：跨环境采集成本高，并受安全、硬件和人力协调限制。；核心思路：DROID 组织分布式采集，形成 6.5 万条示范轨迹、约 350 小时交互，覆盖 564 个场景和 86 项任务。；数据集与评测基准：DROID：约 6.5 万条轨迹／350 小时、564 个场景、86 项任务，50 名采集人员在 12 个月内完成。；主要结果：论文摘要报告，使用 DROID 训练的策略在性能、鲁棒性和泛化上改善；此处不附加未经实验表格核实的增幅。；为什么重要：为跨场景数据采集和数据规模设计提供具体参照。；与当前项目的关系：Medium：可借鉴采集协议，但需核对与本项目机器人形态和动作接口的差异。；主要局限：摘要不能分离数据量、场景多样性与策略结构各自的贡献。</x:v>
      </x:c>
      <x:c r="BO76" t="str">
        <x:v>跨环境采集成本高，并受安全、硬件和人力协调限制。</x:v>
      </x:c>
      <x:c r="BP76" t="str">
        <x:v>DROID 组织分布式采集，形成 6.5 万条示范轨迹、约 350 小时交互，覆盖 564 个场景和 86 项任务。</x:v>
      </x:c>
      <x:c r="BQ76"/>
      <x:c r="BR76" t="str">
        <x:v>论文摘要报告，使用 DROID 训练的策略在性能、鲁棒性和泛化上改善；此处不附加未经实验表格核实的增幅。</x:v>
      </x:c>
      <x:c r="BS76" t="str">
        <x:v>为跨场景数据采集和数据规模设计提供具体参照。</x:v>
      </x:c>
      <x:c r="BT76" t="str">
        <x:v>摘要不能分离数据量、场景多样性与策略结构各自的贡献。</x:v>
      </x:c>
      <x:c r="BU76"/>
      <x:c r="BV76" t="str">
        <x:v>Medium：可借鉴采集协议，但需核对与本项目机器人形态和动作接口的差异。</x:v>
      </x:c>
      <x:c r="BW76" t="str">
        <x:v>官方摘要/论文页; https://roboticsproceedings.org/rss20/p120.html; 核验于 2026-09-23. 仅为摘要级速读；原 Evidence Quality 不变。 - 核验层级：摘要有可追溯来源</x:v>
      </x:c>
      <x:c r="BX76" t="str">
        <x:v>final-title</x:v>
      </x:c>
      <x:c r="BY76" t="n">
        <x:v>0</x:v>
      </x:c>
      <x:c r="BZ76" t="n">
        <x:v>14</x:v>
      </x:c>
    </x:row>
    <x:row r="77" ht="58" customHeight="1">
      <x:c r="A77" t="str">
        <x:v>D076</x:v>
      </x:c>
      <x:c r="B77" t="str">
        <x:v>RoboCasa: Large-Scale Simulation of Household Tasks for Generalist Robots</x:v>
      </x:c>
      <x:c r="C77" t="n">
        <x:v>2024</x:v>
      </x:c>
      <x:c r="D77" t="str">
        <x:v>Dataset / Benchmark</x:v>
      </x:c>
      <x:c r="E77" t="str">
        <x:v>RSS</x:v>
      </x:c>
      <x:c r="F77" t="str">
        <x:v>Formal RSS 2024 proceedings</x:v>
      </x:c>
      <x:c r="G77" t="str">
        <x:v>Not CCF A (robotics venue extension)</x:v>
      </x:c>
      <x:c r="H77" t="str">
        <x:v>Dataset / Benchmark; Robot Manipulation / IL / Diffusion</x:v>
      </x:c>
      <x:c r="I77" t="str">
        <x:v>Household Simulation / Generalist Manipulation</x:v>
      </x:c>
      <x:c r="J77" t="str">
        <x:v>RoboCasa; household simulation; manipulation benchmark</x:v>
      </x:c>
      <x:c r="K77" t="e">
        <x:f>HYPERLINK("https://www.roboticsproceedings.org/rss20/p050.html","论文")</x:f>
        <x:v>HYPERLINK is not implemented. linkLocation=https://www.roboticsproceedings.org/rss20/p050.html, friendlyName=论文</x:v>
      </x:c>
      <x:c r="L77" t="e">
        <x:f>HYPERLINK("https://arxiv.org/abs/2406.02523","arXiv")</x:f>
        <x:v>HYPERLINK is not implemented. linkLocation=https://arxiv.org/abs/2406.02523, friendlyName=arXiv</x:v>
      </x:c>
      <x:c r="M77" t="e">
        <x:f>HYPERLINK("https://robocasa.ai/","Project")</x:f>
        <x:v>HYPERLINK is not implemented. linkLocation=https://robocasa.ai/, friendlyName=Project</x:v>
      </x:c>
      <x:c r="N77" t="e">
        <x:f>HYPERLINK("https://github.com/robocasa/robocasa","GitHub")</x:f>
        <x:v>HYPERLINK is not implemented. linkLocation=https://github.com/robocasa/robocasa, friendlyName=GitHub</x:v>
      </x:c>
      <x:c r="O77" t="str">
        <x:v>Released（官方仓库已公开；本轮未运行验证）</x:v>
      </x:c>
      <x:c r="P77" t="str">
        <x:v>Unknown</x:v>
      </x:c>
      <x:c r="Q77"/>
      <x:c r="R77" t="str">
        <x:v>No (simulation)</x:v>
      </x:c>
      <x:c r="S77" t="str">
        <x:v>Single Arm / Parallel Gripper</x:v>
      </x:c>
      <x:c r="T77" t="str">
        <x:v>RSS Official Proceedings</x:v>
      </x:c>
      <x:c r="U77" t="str">
        <x:v>P0</x:v>
      </x:c>
      <x:c r="V77" t="str">
        <x:v>Simulation benchmark; do not infer real deployment from simulation capability.</x:v>
      </x:c>
      <x:c r="W77" t="str">
        <x:v>Official Verified</x:v>
      </x:c>
      <x:c r="X77" t="str">
        <x:v>2026-09-18</x:v>
      </x:c>
      <x:c r="Y77" t="str">
        <x:v>Benchmark / Dataset</x:v>
      </x:c>
      <x:c r="Z77" t="str">
        <x:v>02_Papers/10_Benchmark_Dataset/RoboCasa.md</x:v>
      </x:c>
      <x:c r="AA77" t="n">
        <x:v>46</x:v>
      </x:c>
      <x:c r="AB77" t="str">
        <x:v>Semantic Scholar</x:v>
      </x:c>
      <x:c r="AC77" t="str">
        <x:v>2026-09-25</x:v>
      </x:c>
      <x:c r="AD77" t="str">
        <x:v>真实机器人数据难以低成本扩展，限制通用家庭操作策略训练。</x:v>
      </x:c>
      <x:c r="AE77" t="str">
        <x:v>Unknown / Needs Full-Paper Verification</x:v>
      </x:c>
      <x:c r="AF77" t="str">
        <x:v>Unknown / Needs Full-Paper Verification</x:v>
      </x:c>
      <x:c r="AG77" t="str">
        <x:v>RSS 2024 原版 RoboCasa：100 项任务、超过 150 个物体类别及大量 3D 资产；不要与后续 RoboCasa365 的规模混同。</x:v>
      </x:c>
      <x:c r="AH77" t="str">
        <x:v>Unknown / Needs Full-Paper Verification</x:v>
      </x:c>
      <x:c r="AI77" t="str">
        <x:v>Unknown / Needs Full-Paper Verification</x:v>
      </x:c>
      <x:c r="AJ77" t="str">
        <x:v>Unknown / Needs Full-Paper Verification</x:v>
      </x:c>
      <x:c r="AK77" t="str">
        <x:v>RSS 官方摘要报告，合成数据用于大规模模仿学习呈现规模效应；本轮不转述未经表格核验的成功率。</x:v>
      </x:c>
      <x:c r="AL77" t="str">
        <x:v>Unknown / Needs Full-Paper Verification</x:v>
      </x:c>
      <x:c r="AM77" t="str">
        <x:v>Library Analysis / Research Note: Unknown / Needs Full-Paper Verification</x:v>
      </x:c>
      <x:c r="AN77" t="str">
        <x:v>Unknown / Needs Project-Specific Review</x:v>
      </x:c>
      <x:c r="AO77" t="str">
        <x:v>Unknown</x:v>
      </x:c>
      <x:c r="AP77" t="str">
        <x:v>B</x:v>
      </x:c>
      <x:c r="AQ77"/>
      <x:c r="AR77" t="str">
        <x:v>Unknown / Not Explicitly Reported in the currently accessible sources.</x:v>
      </x:c>
      <x:c r="AS77" t="str">
        <x:v>Unknown / Not Explicitly Reported in the currently accessible sources.</x:v>
      </x:c>
      <x:c r="AT77" t="str">
        <x:v>https://www.semanticscholar.org/paper/a294546084fda4e0f12f307caed4f9c58f051632</x:v>
      </x:c>
      <x:c r="AU77" t="str">
        <x:v>Unknown</x:v>
      </x:c>
      <x:c r="AV77" t="str">
        <x:v>B-Fulltext-Unavailable</x:v>
      </x:c>
      <x:c r="AW77" t="str">
        <x:v>Not Found</x:v>
      </x:c>
      <x:c r="AX77" t="str">
        <x:v>Unknown</x:v>
      </x:c>
      <x:c r="AY77" t="str">
        <x:v>Unknown</x:v>
      </x:c>
      <x:c r="AZ77" t="e">
        <x:f>HYPERLINK("https://www.roboticsproceedings.org/rss20/p050.pdf","论文")</x:f>
        <x:v>HYPERLINK is not implemented. linkLocation=https://www.roboticsproceedings.org/rss20/p050.pdf, friendlyName=论文</x:v>
      </x:c>
      <x:c r="BA77" t="str">
        <x:v>No</x:v>
      </x:c>
      <x:c r="BB77" t="str">
        <x:v>No</x:v>
      </x:c>
      <x:c r="BC77" t="str">
        <x:v>No</x:v>
      </x:c>
      <x:c r="BD77" t="str">
        <x:v>No</x:v>
      </x:c>
      <x:c r="BE77" t="str">
        <x:v>No</x:v>
      </x:c>
      <x:c r="BF77" t="str">
        <x:v>No</x:v>
      </x:c>
      <x:c r="BG77" t="str">
        <x:v>No</x:v>
      </x:c>
      <x:c r="BH77" t="str">
        <x:v>Matched</x:v>
      </x:c>
      <x:c r="BI77" t="str">
        <x:v>Verified DOI</x:v>
      </x:c>
      <x:c r="BJ77" t="e">
        <x:f>HYPERLINK("https://arxiv.org/abs/2406.02523","arXiv")</x:f>
        <x:v>HYPERLINK is not implemented. linkLocation=https://arxiv.org/abs/2406.02523, friendlyName=arXiv</x:v>
      </x:c>
      <x:c r="BK77" t="str">
        <x:v>Audit logged - deep extraction pending</x:v>
      </x:c>
      <x:c r="BL77" t="str">
        <x:v>false</x:v>
      </x:c>
      <x:c r="BM77"/>
      <x:c r="BN77" t="str">
        <x:v>研究问题：真实机器人数据难以低成本扩展，限制通用家庭操作策略训练。；之前方法的问题：场景、任务和示范的规模不足；仅靠真机采集难以覆盖家庭环境多样性。；核心思路：RoboCasa 建立以厨房为中心的大规模仿真框架，结合生成式资产、语言模型辅助任务设计、人类示范和自动轨迹生成。；数据集与评测基准：RSS 2024 原版 RoboCasa：100 项任务、超过 150 个物体类别及大量 3D 资产；不要与后续 RoboCasa365 的规模混同。；主要结果：RSS 官方摘要报告，合成数据用于大规模模仿学习呈现规模效应；本轮不转述未经表格核验的成功率。；为什么重要：可用于研究仿真数据扩增及与真实机器人数据联合训练。；与当前项目的关系：Medium：家庭操作仿真可借鉴，但与本项目场景、双臂配置和真实部署有差异。；主要局限：摘要不能保证仿真训练所得提升直接迁移至本项目真机。</x:v>
      </x:c>
      <x:c r="BO77" t="str">
        <x:v>场景、任务和示范的规模不足；仅靠真机采集难以覆盖家庭环境多样性。</x:v>
      </x:c>
      <x:c r="BP77" t="str">
        <x:v>RoboCasa 建立以厨房为中心的大规模仿真框架，结合生成式资产、语言模型辅助任务设计、人类示范和自动轨迹生成。</x:v>
      </x:c>
      <x:c r="BQ77"/>
      <x:c r="BR77" t="str">
        <x:v>RSS 官方摘要报告，合成数据用于大规模模仿学习呈现规模效应；本轮不转述未经表格核验的成功率。</x:v>
      </x:c>
      <x:c r="BS77" t="str">
        <x:v>可用于研究仿真数据扩增及与真实机器人数据联合训练。</x:v>
      </x:c>
      <x:c r="BT77" t="str">
        <x:v>摘要不能保证仿真训练所得提升直接迁移至本项目真机。</x:v>
      </x:c>
      <x:c r="BU77"/>
      <x:c r="BV77" t="str">
        <x:v>Medium：家庭操作仿真可借鉴，但与本项目场景、双臂配置和真实部署有差异。</x:v>
      </x:c>
      <x:c r="BW77" t="str">
        <x:v>官方摘要/论文页; https://www.roboticsproceedings.org/rss20/p050.html; 核验于 2026-09-23. 仅为摘要级速读；原 Evidence Quality 不变。 - 核验层级：摘要有可追溯来源</x:v>
      </x:c>
      <x:c r="BX77" t="str">
        <x:v>doi</x:v>
      </x:c>
      <x:c r="BY77" t="n">
        <x:v>0</x:v>
      </x:c>
      <x:c r="BZ77" t="n">
        <x:v>1</x:v>
      </x:c>
    </x:row>
    <x:row r="78" ht="58" customHeight="1">
      <x:c r="A78" t="str">
        <x:v>D077</x:v>
      </x:c>
      <x:c r="B78" t="str">
        <x:v>Open X-Embodiment: Robotic Learning Datasets and RT-X Models</x:v>
      </x:c>
      <x:c r="C78" t="n">
        <x:v>2024</x:v>
      </x:c>
      <x:c r="D78" t="str">
        <x:v>Dataset / Benchmark</x:v>
      </x:c>
      <x:c r="E78" t="str">
        <x:v>ICRA</x:v>
      </x:c>
      <x:c r="F78" t="str">
        <x:v>Formal ICRA 2024; DOI 10.1109/ICRA57147.2024.10611477; institutional publication record cross-check</x:v>
      </x:c>
      <x:c r="G78" t="str">
        <x:v>B (CCF Seventh Edition; official row recheck pending)</x:v>
      </x:c>
      <x:c r="H78" t="str">
        <x:v>Dataset / Benchmark; VLA / Robot Foundation Models</x:v>
      </x:c>
      <x:c r="I78" t="str">
        <x:v>Cross-Embodiment / Robot Demonstration</x:v>
      </x:c>
      <x:c r="J78" t="str">
        <x:v>Open X-Embodiment; RT-X; cross-embodiment; dataset</x:v>
      </x:c>
      <x:c r="K78" t="e">
        <x:f>HYPERLINK("https://ieeexplore.ieee.org/document/10611477","论文")</x:f>
        <x:v>HYPERLINK is not implemented. linkLocation=https://ieeexplore.ieee.org/document/10611477, friendlyName=论文</x:v>
      </x:c>
      <x:c r="L78"/>
      <x:c r="M78"/>
      <x:c r="N78" t="e">
        <x:f>HYPERLINK("https://github.com/google-deepmind/open_x_embodiment","GitHub")</x:f>
        <x:v>HYPERLINK is not implemented. linkLocation=https://github.com/google-deepmind/open_x_embodiment, friendlyName=GitHub</x:v>
      </x:c>
      <x:c r="O78" t="str">
        <x:v>Released</x:v>
      </x:c>
      <x:c r="P78" t="str">
        <x:v>Yes (dataset access; not downloaded)</x:v>
      </x:c>
      <x:c r="Q78"/>
      <x:c r="R78" t="str">
        <x:v>Yes</x:v>
      </x:c>
      <x:c r="S78" t="str">
        <x:v>Multi-Embodiment / Parallel Gripper</x:v>
      </x:c>
      <x:c r="T78" t="str">
        <x:v>IEEE Xplore / institutional publication record</x:v>
      </x:c>
      <x:c r="U78" t="str">
        <x:v>P0</x:v>
      </x:c>
      <x:c r="V78" t="str">
        <x:v>ICRA is CCF B according to provided 7th-edition direction; not a CCF A venue.</x:v>
      </x:c>
      <x:c r="W78" t="str">
        <x:v>Cross-Verified</x:v>
      </x:c>
      <x:c r="X78" t="str">
        <x:v>2026-09-18</x:v>
      </x:c>
      <x:c r="Y78" t="str">
        <x:v>Benchmark / Dataset</x:v>
      </x:c>
      <x:c r="Z78" t="str">
        <x:v>02_Papers/10_Benchmark_Dataset/Open_X-Embodiment.md</x:v>
      </x:c>
      <x:c r="AA78" t="n">
        <x:v>103</x:v>
      </x:c>
      <x:c r="AB78" t="str">
        <x:v>OpenAlex</x:v>
      </x:c>
      <x:c r="AC78" t="str">
        <x:v>2026-09-25</x:v>
      </x:c>
      <x:c r="AD78" t="str">
        <x:v>机器人数据分散在不同机构、平台和格式中，难以训练通用策略。</x:v>
      </x:c>
      <x:c r="AE78" t="str">
        <x:v>Unknown / Needs Full-Paper Verification</x:v>
      </x:c>
      <x:c r="AF78" t="str">
        <x:v>Unknown / Needs Full-Paper Verification</x:v>
      </x:c>
      <x:c r="AG78" t="str">
        <x:v>Open X-Embodiment 数据混合及 RT-X 评测。</x:v>
      </x:c>
      <x:c r="AH78" t="str">
        <x:v>Unknown / Needs Full-Paper Verification</x:v>
      </x:c>
      <x:c r="AI78" t="str">
        <x:v>Unknown / Needs Full-Paper Verification</x:v>
      </x:c>
      <x:c r="AJ78" t="str">
        <x:v>Unknown / Needs Full-Paper Verification</x:v>
      </x:c>
      <x:c r="AK78" t="str">
        <x:v>官方项目与论文报告跨机器人训练带来的泛化收益；具体任务数值见原论文。</x:v>
      </x:c>
      <x:c r="AL78" t="str">
        <x:v>Unknown / Needs Full-Paper Verification</x:v>
      </x:c>
      <x:c r="AM78" t="str">
        <x:v>Library Analysis / Research Note: Unknown / Needs Full-Paper Verification</x:v>
      </x:c>
      <x:c r="AN78" t="str">
        <x:v>Unknown / Needs Project-Specific Review</x:v>
      </x:c>
      <x:c r="AO78" t="str">
        <x:v>Unknown</x:v>
      </x:c>
      <x:c r="AP78" t="str">
        <x:v>B</x:v>
      </x:c>
      <x:c r="AQ78"/>
      <x:c r="AR78" t="str">
        <x:v>Unknown / Not Explicitly Reported in the currently accessible sources.</x:v>
      </x:c>
      <x:c r="AS78" t="str">
        <x:v>Unknown / Not Explicitly Reported in the currently accessible sources.</x:v>
      </x:c>
      <x:c r="AT78" t="str">
        <x:v>https://openalex.org/W4387764390</x:v>
      </x:c>
      <x:c r="AU78" t="str">
        <x:v>Unknown</x:v>
      </x:c>
      <x:c r="AV78" t="str">
        <x:v>B-Fulltext-Unavailable</x:v>
      </x:c>
      <x:c r="AW78" t="str">
        <x:v>Not Found</x:v>
      </x:c>
      <x:c r="AX78" t="str">
        <x:v>Mostly Complete</x:v>
      </x:c>
      <x:c r="AY78" t="str">
        <x:v>Unknown</x:v>
      </x:c>
      <x:c r="AZ78" t="str">
        <x:v>https://arxiv.org/pdf/2310.08864</x:v>
      </x:c>
      <x:c r="BA78" t="str">
        <x:v>No</x:v>
      </x:c>
      <x:c r="BB78" t="str">
        <x:v>No</x:v>
      </x:c>
      <x:c r="BC78" t="str">
        <x:v>No</x:v>
      </x:c>
      <x:c r="BD78" t="str">
        <x:v>No</x:v>
      </x:c>
      <x:c r="BE78" t="str">
        <x:v>No</x:v>
      </x:c>
      <x:c r="BF78" t="str">
        <x:v>No</x:v>
      </x:c>
      <x:c r="BG78" t="str">
        <x:v>No</x:v>
      </x:c>
      <x:c r="BH78" t="str">
        <x:v>Matched</x:v>
      </x:c>
      <x:c r="BI78" t="str">
        <x:v>Not Found After Verification</x:v>
      </x:c>
      <x:c r="BJ78" t="str">
        <x:v>Not Found After Verification</x:v>
      </x:c>
      <x:c r="BK78" t="str">
        <x:v>Audit logged - deep extraction pending</x:v>
      </x:c>
      <x:c r="BL78" t="str">
        <x:v>false</x:v>
      </x:c>
      <x:c r="BM78"/>
      <x:c r="BN78" t="str">
        <x:v>研究问题：机器人数据分散在不同机构、平台和格式中，难以训练通用策略。；之前方法的问题：每个机器人和任务单独训练模型，跨平台复用成本高。；核心思路：Open X-Embodiment 整合标准化的跨机器人数据，并训练 RT-X 模型测试共享学习。；输入：官方摘要给出任务/数据类型；具体模型张量与接口需核对方法章节。；输出与动作：官方摘要未明确列出完整控制接口；需核对论文方法或代码。；数据集与评测基准：Open X-Embodiment 数据混合及 RT-X 评测。；主要结果：官方项目与论文报告跨机器人训练带来的泛化收益；具体任务数值见原论文。；为什么重要：是审计跨本体数据、动作格式和策略迁移的基础入口。；与当前项目的关系：Medium：方法可借鉴，但迁移到当前双臂硬件需验证。；主要局限：本段基于官方摘要；未覆盖全文失败案例、完整 Baseline 与方法消融。</x:v>
      </x:c>
      <x:c r="BO78" t="str">
        <x:v>每个机器人和任务单独训练模型，跨平台复用成本高。</x:v>
      </x:c>
      <x:c r="BP78" t="str">
        <x:v>Open X-Embodiment 整合标准化的跨机器人数据，并训练 RT-X 模型测试共享学习。</x:v>
      </x:c>
      <x:c r="BQ78"/>
      <x:c r="BR78" t="str">
        <x:v>官方项目与论文报告跨机器人训练带来的泛化收益；具体任务数值见原论文。</x:v>
      </x:c>
      <x:c r="BS78" t="str">
        <x:v>是审计跨本体数据、动作格式和策略迁移的基础入口。</x:v>
      </x:c>
      <x:c r="BT78" t="str">
        <x:v>本段基于官方摘要；未覆盖全文失败案例、完整 Baseline 与方法消融。</x:v>
      </x:c>
      <x:c r="BU78"/>
      <x:c r="BV78" t="str">
        <x:v>Medium：方法可借鉴，但迁移到当前双臂硬件需验证。</x:v>
      </x:c>
      <x:c r="BW78" t="str">
        <x:v>官方摘要/论文页：https://robotics-transformer-x.github.io/；核验于 2026-09-23。仅为摘要级速读，原 Evidence Quality 不变。 - 核验层级：摘要有可追溯来源</x:v>
      </x:c>
      <x:c r="BX78" t="str">
        <x:v>arxiv-source-exact</x:v>
      </x:c>
      <x:c r="BY78" t="n">
        <x:v>0</x:v>
      </x:c>
      <x:c r="BZ78" t="n">
        <x:v>21</x:v>
      </x:c>
    </x:row>
    <x:row r="79">
      <x:c r="A79" t="str">
        <x:v>D078</x:v>
      </x:c>
      <x:c r="B79" t="str">
        <x:v>ReconVLA: Reconstructive Vision-Language-Action Model as Effective Robot Perceiver</x:v>
      </x:c>
      <x:c r="C79" t="n">
        <x:v>2026</x:v>
      </x:c>
      <x:c r="D79" t="str">
        <x:v>Method Paper</x:v>
      </x:c>
      <x:c r="E79" t="str">
        <x:v>AAAI</x:v>
      </x:c>
      <x:c r="F79" t="str">
        <x:v>Official Conference Paper (AAAI-26 Technical Track on Intelligent Robotics)</x:v>
      </x:c>
      <x:c r="G79" t="str">
        <x:v>A</x:v>
      </x:c>
      <x:c r="H79" t="str">
        <x:v>VLA; Robot Manipulation; Generalization; Diffusion</x:v>
      </x:c>
      <x:c r="I79" t="str">
        <x:v>Visual Grounding / Robot Perception / Gaze-Region Reconstruction</x:v>
      </x:c>
      <x:c r="J79" t="str">
        <x:v>VLA; Robot Manipulation; Visual Grounding; Robot Perception; Implicit Grounding; Gaze-Region Reconstruction; Generalization; Diffusion Transformer</x:v>
      </x:c>
      <x:c r="K79" t="e">
        <x:f>HYPERLINK("https://ojs.aaai.org/index.php/AAAI/article/view/38921","论文")</x:f>
        <x:v>HYPERLINK is not implemented. linkLocation=https://ojs.aaai.org/index.php/AAAI/article/view/38921, friendlyName=论文</x:v>
      </x:c>
      <x:c r="L79" t="e">
        <x:f>HYPERLINK("https://arxiv.org/abs/2508.10333","arXiv")</x:f>
        <x:v>HYPERLINK is not implemented. linkLocation=https://arxiv.org/abs/2508.10333, friendlyName=arXiv</x:v>
      </x:c>
      <x:c r="M79" t="e">
        <x:f>HYPERLINK("https://zionchow.github.io/ReconVLA/","Project")</x:f>
        <x:v>HYPERLINK is not implemented. linkLocation=https://zionchow.github.io/ReconVLA/, friendlyName=Project</x:v>
      </x:c>
      <x:c r="N79" t="e">
        <x:f>HYPERLINK("https://github.com/OpenHelix-Team/ReconVLA","GitHub")</x:f>
        <x:v>HYPERLINK is not implemented. linkLocation=https://github.com/OpenHelix-Team/ReconVLA, friendlyName=GitHub</x:v>
      </x:c>
      <x:c r="O79" t="str">
        <x:v>Released</x:v>
      </x:c>
      <x:c r="P79" t="str">
        <x:v>Partial — source datasets and preprocessing instructions are public; compiled pretraining dataset release not verified</x:v>
      </x:c>
      <x:c r="Q79" t="str">
        <x:v>Unknown — no author-released ReconVLA checkpoint located</x:v>
      </x:c>
      <x:c r="R79" t="str">
        <x:v>Yes</x:v>
      </x:c>
      <x:c r="S79" t="str">
        <x:v>Single Arm / Parallel Gripper</x:v>
      </x:c>
      <x:c r="T79" t="str">
        <x:v>AAAI Proceedings / author project page / official GitHub</x:v>
      </x:c>
      <x:c r="U79" t="str">
        <x:v>P1</x:v>
      </x:c>
      <x:c r="V79" t="str">
        <x:v>Special Attention: Yes. Abstract-level / . Official repository includes training, evaluation, and preprocessing code; code was not run locally.</x:v>
      </x:c>
      <x:c r="W79" t="str">
        <x:v>Official AAAI proceedings, arXiv, author project page, and official repository verified; CCF A verified on current official CCF list</x:v>
      </x:c>
      <x:c r="X79" t="str">
        <x:v>2026-09-20</x:v>
      </x:c>
      <x:c r="Y79" t="str">
        <x:v>VLA</x:v>
      </x:c>
      <x:c r="Z79" t="str">
        <x:v>02_Papers/01_VLA/ReconVLA.md</x:v>
      </x:c>
      <x:c r="AA79" t="n">
        <x:v>3</x:v>
      </x:c>
      <x:c r="AB79" t="str">
        <x:v>OpenAlex</x:v>
      </x:c>
      <x:c r="AC79" t="str">
        <x:v>2026-09-25</x:v>
      </x:c>
      <x:c r="AD79" t="str">
        <x:v>VLA 的视觉注意可能落在任务无关区域，削弱精细操作与泛化。</x:v>
      </x:c>
      <x:c r="AE79" t="str">
        <x:v>Unknown / Needs Full-Paper Verification</x:v>
      </x:c>
      <x:c r="AF79" t="str">
        <x:v>模型从 VLA 的视觉输出生成重建条件，由轻量 diffusion transformer 从噪声重建对应目标操作对象的 ga</x:v>
      </x:c>
      <x:c r="AG79" t="str">
        <x:v>卡片记录 BridgeData V2、LIBERO、CALVIN 相关数据和评测；具体分工与规模见论文 Sec. 3.4。</x:v>
      </x:c>
      <x:c r="AH79" t="str">
        <x:v>Unknown / Needs Full-Paper Verification</x:v>
      </x:c>
      <x:c r="AI79" t="str">
        <x:v>提出 ReconVLA，以凝视区域重建作为辅助视觉监督，在不依赖额外 grounding 输入或显式边界框输出的情况下提升 VLA 的视觉 grounding；并构建包含 100k+ 轨迹和 2M 数据样本的机器人预训练数据集以增强视觉重建泛化。</x:v>
      </x:c>
      <x:c r="AJ79" t="str">
        <x:v>官方论文报告在 CALVIN 仿真和真实机器人任务上进行实验，并比较 implicit grounding、explicit grounding 与 chain-of-thought grounding；结果支持其精确操作、长时序任务和未见目标泛化能力。</x:v>
      </x:c>
      <x:c r="AK79" t="str">
        <x:v>Unknown / Needs Full-Paper Verification</x:v>
      </x:c>
      <x:c r="AL79" t="str">
        <x:v>Unknown / Needs Full-Paper Verification</x:v>
      </x:c>
      <x:c r="AM79" t="str">
        <x:v>Library Analysis / Research Note: Unknown / Needs Full-Paper Verification</x:v>
      </x:c>
      <x:c r="AN79" t="str">
        <x:v>** 适合用于研究 VLA 感知瓶颈、目标区域 grounding 与操作策略联合训练；其辅助重建目标可作为提升复杂场景目标选择和泛化能力的参考。</x:v>
      </x:c>
      <x:c r="AO79" t="str">
        <x:v>VLA; Robot Manipulation; Visual Grounding; Robot Perception; Implicit Grounding; Gaze-Region Reconstruction; Generalization; Diffusion Transformer</x:v>
      </x:c>
      <x:c r="AP79" t="str">
        <x:v>A</x:v>
      </x:c>
      <x:c r="AQ79" t="str">
        <x:v>Idea Clue 1: test implicit gaze reconstruction on dual-arm ordinary-gripper tasks with distractor objects. Evidence: official target-region grounding motivation. Why relevant: maps directly to current VLA perception bottleneck.</x:v>
      </x:c>
      <x:c r="AR79" t="str">
        <x:v>Not Reported in the official abstract/project evidence rechecked for this batch.</x:v>
      </x:c>
      <x:c r="AS79" t="str">
        <x:v>Not Explicitly Reported in the accessible official abstract/project evidence.</x:v>
      </x:c>
      <x:c r="AT79" t="str">
        <x:v>https://openalex.org/W7137985120</x:v>
      </x:c>
      <x:c r="AU79" t="str">
        <x:v>https://ojs.aaai.org/index.php/AAAI/article/view/38921；https://arxiv.org/abs/2508.10333；https://zionchow.github.io/ReconVLA/；https://github.com/OpenHelix-Team/ReconVLA</x:v>
      </x:c>
      <x:c r="AV79" t="str">
        <x:v>A-Upgraded</x:v>
      </x:c>
      <x:c r="AW79" t="str">
        <x:v>Available - Verified</x:v>
      </x:c>
      <x:c r="AX79" t="str">
        <x:v>Mostly Complete</x:v>
      </x:c>
      <x:c r="AY79" t="str">
        <x:v>Franka Panda (CALVIN simulation); real-world platform not confirmed at abstract level</x:v>
      </x:c>
      <x:c r="AZ79" t="str">
        <x:v>https://ojs.aaai.org/index.php/AAAI/article/download/38921/42883</x:v>
      </x:c>
      <x:c r="BA79" t="str">
        <x:v>No</x:v>
      </x:c>
      <x:c r="BB79" t="str">
        <x:v>No</x:v>
      </x:c>
      <x:c r="BC79" t="str">
        <x:v>No</x:v>
      </x:c>
      <x:c r="BD79" t="str">
        <x:v>No</x:v>
      </x:c>
      <x:c r="BE79" t="str">
        <x:v>No</x:v>
      </x:c>
      <x:c r="BF79" t="str">
        <x:v>No</x:v>
      </x:c>
      <x:c r="BG79" t="str">
        <x:v>No</x:v>
      </x:c>
      <x:c r="BH79" t="str">
        <x:v>Matched</x:v>
      </x:c>
      <x:c r="BI79" t="str">
        <x:v>Not Found After Verification</x:v>
      </x:c>
      <x:c r="BJ79" t="str">
        <x:v>Not Found After Verification</x:v>
      </x:c>
      <x:c r="BK79" t="str">
        <x:v>Audit logged - deep extraction pending</x:v>
      </x:c>
      <x:c r="BL79" t="str">
        <x:v>false</x:v>
      </x:c>
      <x:c r="BM79"/>
      <x:c r="BN79" t="str">
        <x:v>研究问题：VLA 的视觉注意可能落在任务无关区域，削弱精细操作与泛化。；之前方法的问题：原有 VLA 难以稳定把视觉注意对准目标区域；显式标注 Grounding 的方案又可能增加数据要求。；核心思路：ReconVLA 用扩散式重建目标注视区域，促使视觉表示聚焦被操作物体，同时保留动作预测。；输入：RGB 图像历史和语言指令；重建注视区域作为中间视觉目标（Sec. 3、Fig. 2）。；为什么重要：直接对应本项目的目标 Grounding 与动作前目标核验。；与当前项目的关系：High：有助于研究语言条件操作与 VLA 设计。；主要局限：作者指出性能取决于目标区域重建是否正确；公开评测主要集中在 CALVIN 与有限真机任务。跨本体和新相机条件仍需验证。</x:v>
      </x:c>
      <x:c r="BO79" t="str">
        <x:v>原有 VLA 难以稳定把视觉注意对准目标区域；显式标注 Grounding 的方案又可能增加数据要求。</x:v>
      </x:c>
      <x:c r="BP79" t="str">
        <x:v>ReconVLA 用扩散式重建目标注视区域，促使视觉表示聚焦被操作物体，同时保留动作预测。</x:v>
      </x:c>
      <x:c r="BQ79" t="str">
        <x:v>Official abstract confirms comparison of implicit grounding against alternative grounding paradigms; exact named baselines and metric table require full PDF extraction.</x:v>
      </x:c>
      <x:c r="BR79" t="str">
        <x:v>AAAI 官方摘要报告操作精度和泛化改善；快速摘要不添加尚未核对表格的数值。</x:v>
      </x:c>
      <x:c r="BS79" t="str">
        <x:v>直接对应本项目的目标 Grounding 与动作前目标核验。</x:v>
      </x:c>
      <x:c r="BT79" t="str">
        <x:v>作者指出性能取决于目标区域重建是否正确；公开评测主要集中在 CALVIN 与有限真机任务。跨本体和新相机条件仍需验证。</x:v>
      </x:c>
      <x:c r="BU79" t="str">
        <x:v>Library Analysis: calibration of reconstructed attention under occlusion, clutter and multi-object bimanual scenes remains open.</x:v>
      </x:c>
      <x:c r="BV79" t="str">
        <x:v>High：有助于研究语言条件操作与 VLA 设计。</x:v>
      </x:c>
      <x:c r="BW79" t="str">
        <x:v>官方摘要/论文页; https://arxiv.org/html/2508.10333; 核验于 2026-09-23. 仅为摘要级速读；原 Evidence Quality 不变。 - 核验层级：摘要有可追溯来源</x:v>
      </x:c>
      <x:c r="BX79" t="str">
        <x:v>doi</x:v>
      </x:c>
      <x:c r="BY79" t="n">
        <x:v>7</x:v>
      </x:c>
      <x:c r="BZ79" t="n">
        <x:v>1</x:v>
      </x:c>
    </x:row>
  </x:sheetData>
  <x:dataValidations count="5">
    <x:dataValidation type="list" sqref="D2:D78">
      <x:formula1>"Method Paper,Survey / Review,Dataset / Benchmark,System / Platform,Position / Perspective,Other"</x:formula1>
    </x:dataValidation>
    <x:dataValidation type="list" sqref="O2:O78">
      <x:formula1>"Released,Partial,Coming Soon,None,Unknown"</x:formula1>
    </x:dataValidation>
    <x:dataValidation type="list" sqref="R2:R78">
      <x:formula1>"Yes,No,Mixed,Unknown"</x:formula1>
    </x:dataValidation>
    <x:dataValidation type="list" sqref="U2:U78">
      <x:formula1>"P0,P1,P2,P3"</x:formula1>
    </x:dataValidation>
    <x:dataValidation type="list" sqref="W2:W78">
      <x:formula1>"Official Verified,Cross-Verified,Pending Official Recheck"</x:formula1>
    </x:dataValidation>
  </x:dataValidations>
  <x:pageMargins left="0.7" right="0.7" top="0.75" bottom="0.75" header="0.3" footer="0.3"/>
  <x:tableParts count="1">
    <x:tablePart xmlns:r="http://schemas.openxmlformats.org/officeDocument/2006/relationships" r:id="R1026b7fa96694510"/>
  </x:tableParts>
</x:worksheet>
</file>

<file path=xl/worksheets/sheet6.xml><?xml version="1.0" encoding="utf-8"?>
<x:worksheet xmlns:x="http://schemas.openxmlformats.org/spreadsheetml/2006/main">
  <x:sheetPr>
    <x:tabColor rgb="FF1F4E78"/>
  </x:sheetPr>
  <x:sheetViews>
    <x:sheetView showGridLines="0" workbookViewId="0">
      <x:pane xSplit="2" ySplit="1" topLeftCell="C2" activePane="bottomRight" state="frozen"/>
    </x:sheetView>
  </x:sheetViews>
  <x:sheetFormatPr defaultRowHeight="15"/>
  <x:cols>
    <x:col min="1" max="1" width="10" hidden="0" customWidth="1"/>
    <x:col min="2" max="2" width="48" hidden="0" customWidth="1"/>
    <x:col min="3" max="3" width="32" hidden="0" customWidth="1"/>
    <x:col min="4" max="4" width="14" hidden="0" customWidth="1"/>
    <x:col min="5" max="5" width="14" hidden="0" customWidth="1"/>
    <x:col min="6" max="6" width="14" hidden="0" customWidth="1"/>
    <x:col min="7" max="7" width="28" hidden="0" customWidth="1"/>
    <x:col min="8" max="8" width="28" hidden="0" customWidth="1"/>
    <x:col min="9" max="9" width="28" hidden="0" customWidth="1"/>
    <x:col min="10" max="10" width="28" hidden="0" customWidth="1"/>
    <x:col min="11" max="11" width="2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32" hidden="0" customWidth="1"/>
    <x:col min="34" max="34" width="32" hidden="0" customWidth="1"/>
    <x:col min="35" max="35" width="32" hidden="0" customWidth="1"/>
    <x:col min="36" max="36" width="32" hidden="0" customWidth="1"/>
    <x:col min="37" max="37" width="48" hidden="0" customWidth="1"/>
    <x:col min="38" max="38" width="32" hidden="0" customWidth="1"/>
    <x:col min="39" max="39" width="32" hidden="0" customWidth="1"/>
    <x:col min="40" max="40" width="32" hidden="0" customWidth="1"/>
    <x:col min="41" max="41" width="32" hidden="0" customWidth="1"/>
    <x:col min="42" max="42" width="32" hidden="0" customWidth="1"/>
    <x:col min="43" max="43" width="32" hidden="0" customWidth="1"/>
    <x:col min="44" max="44" width="32" hidden="0" customWidth="1"/>
    <x:col min="45" max="45" width="32" hidden="0" customWidth="1"/>
    <x:col min="46" max="46" width="32" hidden="0" customWidth="1"/>
    <x:col min="47" max="47" width="25" hidden="0" customWidth="1"/>
  </x:cols>
  <x:sheetData>
    <x:row r="1" ht="42" customHeight="1">
      <x:c r="A1" t="str">
        <x:v>编号 ID</x:v>
      </x:c>
      <x:c r="B1" t="str">
        <x:v>论文标题 Title</x:v>
      </x:c>
      <x:c r="C1" t="str">
        <x:v>作者 Authors</x:v>
      </x:c>
      <x:c r="D1" t="str">
        <x:v>年份 Year</x:v>
      </x:c>
      <x:c r="E1" t="str">
        <x:v>会议 Venue</x:v>
      </x:c>
      <x:c r="F1" t="str">
        <x:v>CCF等级</x:v>
      </x:c>
      <x:c r="G1" t="str">
        <x:v>正式发表状态 Publication Status</x:v>
      </x:c>
      <x:c r="H1" t="str">
        <x:v>论文类型 Type</x:v>
      </x:c>
      <x:c r="I1" t="str">
        <x:v>研究方向 Category</x:v>
      </x:c>
      <x:c r="J1" t="str">
        <x:v>子方向 Subcategory</x:v>
      </x:c>
      <x:c r="K1" t="str">
        <x:v>关键词 Keywords</x:v>
      </x:c>
      <x:c r="L1" t="str">
        <x:v>官方论文 Official Paper</x:v>
      </x:c>
      <x:c r="M1" t="str">
        <x:v>DOI</x:v>
      </x:c>
      <x:c r="N1" t="str">
        <x:v>arXiv</x:v>
      </x:c>
      <x:c r="O1" t="str">
        <x:v>项目主页 Project Page</x:v>
      </x:c>
      <x:c r="P1" t="str">
        <x:v>官方代码 Official GitHub</x:v>
      </x:c>
      <x:c r="Q1" t="str">
        <x:v>代码状态 Code Status</x:v>
      </x:c>
      <x:c r="R1" t="str">
        <x:v>Hugging Face</x:v>
      </x:c>
      <x:c r="S1" t="str">
        <x:v>Checkpoint</x:v>
      </x:c>
      <x:c r="T1" t="str">
        <x:v>Dataset Released</x:v>
      </x:c>
      <x:c r="U1" t="str">
        <x:v>机器人平台 Robot Platform</x:v>
      </x:c>
      <x:c r="V1" t="str">
        <x:v>机器人形态 Embodiment</x:v>
      </x:c>
      <x:c r="W1" t="str">
        <x:v>单臂/双臂</x:v>
      </x:c>
      <x:c r="X1" t="str">
        <x:v>夹爪/灵巧手</x:v>
      </x:c>
      <x:c r="Y1" t="str">
        <x:v>是否真机 Real Robot</x:v>
      </x:c>
      <x:c r="Z1" t="str">
        <x:v>Dataset</x:v>
      </x:c>
      <x:c r="AA1" t="str">
        <x:v>Benchmark</x:v>
      </x:c>
      <x:c r="AB1" t="str">
        <x:v>Simulation</x:v>
      </x:c>
      <x:c r="AC1" t="str">
        <x:v>优先级 Priority</x:v>
      </x:c>
      <x:c r="AD1" t="str">
        <x:v>核验状态 Verification Status</x:v>
      </x:c>
      <x:c r="AE1" t="str">
        <x:v>核验日期 Verified Date</x:v>
      </x:c>
      <x:c r="AF1" t="str">
        <x:v>备注 Notes</x:v>
      </x:c>
      <x:c r="AG1" t="str">
        <x:v>Venue Type</x:v>
      </x:c>
      <x:c r="AH1" t="str">
        <x:v>Publication Type</x:v>
      </x:c>
      <x:c r="AI1" t="str">
        <x:v>Special Attention</x:v>
      </x:c>
      <x:c r="AJ1" t="str">
        <x:v>Canonical Card Path</x:v>
      </x:c>
      <x:c r="AK1" t="str">
        <x:v>Library Membership</x:v>
      </x:c>
      <x:c r="AL1" t="str">
        <x:v>Summary Sources</x:v>
      </x:c>
      <x:c r="AM1" t="str">
        <x:v>Reading Depth</x:v>
      </x:c>
      <x:c r="AN1" t="str">
        <x:v>Problem</x:v>
      </x:c>
      <x:c r="AO1" t="str">
        <x:v>Main Contribution</x:v>
      </x:c>
      <x:c r="AP1" t="str">
        <x:v>Key Idea</x:v>
      </x:c>
      <x:c r="AQ1" t="str">
        <x:v>Experiment / Validation</x:v>
      </x:c>
      <x:c r="AR1" t="str">
        <x:v>Relevance to Our Project</x:v>
      </x:c>
      <x:c r="AS1" t="str">
        <x:v>CCF Standard Version</x:v>
      </x:c>
      <x:c r="AT1" t="str">
        <x:v>Primary Category</x:v>
      </x:c>
      <x:c r="AU1" t="str">
        <x:v>Citation Count</x:v>
      </x:c>
      <x:c r="AV1" t="str">
        <x:v>Citation Source</x:v>
      </x:c>
      <x:c r="AW1" t="str">
        <x:v>Citation Checked Date</x:v>
      </x:c>
      <x:c r="AX1" t="str">
        <x:v>Research Problem</x:v>
      </x:c>
      <x:c r="AY1" t="str">
        <x:v>Previous Unsolved Problem</x:v>
      </x:c>
      <x:c r="AZ1" t="str">
        <x:v>Model / Method</x:v>
      </x:c>
      <x:c r="BA1" t="str">
        <x:v>Dataset / Benchmark</x:v>
      </x:c>
      <x:c r="BB1" t="str">
        <x:v>Baseline / SOTA</x:v>
      </x:c>
      <x:c r="BC1" t="str">
        <x:v>Main Contributions</x:v>
      </x:c>
      <x:c r="BD1" t="str">
        <x:v>Experiment Setup</x:v>
      </x:c>
      <x:c r="BE1" t="str">
        <x:v>Main Results</x:v>
      </x:c>
      <x:c r="BF1" t="str">
        <x:v>Limitations</x:v>
      </x:c>
      <x:c r="BG1" t="str">
        <x:v>Remaining Unsolved Problem</x:v>
      </x:c>
      <x:c r="BH1" t="str">
        <x:v>Tags</x:v>
      </x:c>
      <x:c r="BI1" t="str">
        <x:v>Evidence Quality</x:v>
      </x:c>
      <x:c r="BJ1" t="str">
        <x:v>Idea Clues</x:v>
      </x:c>
      <x:c r="BK1" t="str">
        <x:v>Ablation Study</x:v>
      </x:c>
      <x:c r="BL1" t="str">
        <x:v>Failure Cases</x:v>
      </x:c>
      <x:c r="BM1" t="str">
        <x:v>引用量来源链接</x:v>
      </x:c>
      <x:c r="BN1" t="str">
        <x:v>Evidence Sources</x:v>
      </x:c>
      <x:c r="BO1" t="str">
        <x:v>Evidence Upgrade Status</x:v>
      </x:c>
      <x:c r="BP1" t="str">
        <x:v>Supplement Status</x:v>
      </x:c>
      <x:c r="BQ1" t="str">
        <x:v>Code Completeness</x:v>
      </x:c>
      <x:c r="BR1" t="str">
        <x:v>Robot Platform Evidence</x:v>
      </x:c>
      <x:c r="BS1" t="str">
        <x:v>Fulltext URL</x:v>
      </x:c>
      <x:c r="BT1" t="str">
        <x:v>Fulltext Checked</x:v>
      </x:c>
      <x:c r="BU1" t="str">
        <x:v>Experiment Extracted</x:v>
      </x:c>
      <x:c r="BV1" t="str">
        <x:v>Results Extracted</x:v>
      </x:c>
      <x:c r="BW1" t="str">
        <x:v>Ablation Extracted</x:v>
      </x:c>
      <x:c r="BX1" t="str">
        <x:v>Failure Cases Extracted</x:v>
      </x:c>
      <x:c r="BY1" t="str">
        <x:v>Limitations Extracted</x:v>
      </x:c>
      <x:c r="BZ1" t="str">
        <x:v>Remaining Gap Extracted</x:v>
      </x:c>
      <x:c r="CA1" t="str">
        <x:v>Citation Status</x:v>
      </x:c>
      <x:c r="CB1" t="str">
        <x:v>DOI Status</x:v>
      </x:c>
      <x:c r="CC1" t="str">
        <x:v>arXiv Status</x:v>
      </x:c>
      <x:c r="CD1" t="str">
        <x:v>Deep Enrichment Status</x:v>
      </x:c>
      <x:c r="CE1" t="str">
        <x:v>Deep Enrichment Completed</x:v>
      </x:c>
      <x:c r="CF1" t="str">
        <x:v>Queue Status</x:v>
      </x:c>
      <x:c r="CG1" t="str">
        <x:v>Quick Summary</x:v>
      </x:c>
      <x:c r="CH1" t="str">
        <x:v>Previous Gap</x:v>
      </x:c>
      <x:c r="CI1" t="str">
        <x:v>Core Idea</x:v>
      </x:c>
      <x:c r="CJ1" t="str">
        <x:v>Baseline</x:v>
      </x:c>
      <x:c r="CK1" t="str">
        <x:v>Main Result</x:v>
      </x:c>
      <x:c r="CL1" t="str">
        <x:v>Why It Matters</x:v>
      </x:c>
      <x:c r="CM1" t="str">
        <x:v>Key Limitation</x:v>
      </x:c>
      <x:c r="CN1" t="str">
        <x:v>Remaining Gap</x:v>
      </x:c>
      <x:c r="CO1" t="str">
        <x:v>Project Relevance</x:v>
      </x:c>
      <x:c r="CP1" t="str">
        <x:v>Summary Evidence</x:v>
      </x:c>
      <x:c r="CQ1" t="str">
        <x:v>Citation Match Confidence</x:v>
      </x:c>
      <x:c r="CR1" t="str">
        <x:v>References In Library Count</x:v>
      </x:c>
      <x:c r="CS1" t="str">
        <x:v>Cited By In Library Count</x:v>
      </x:c>
    </x:row>
    <x:row r="2" ht="58" customHeight="1">
      <x:c r="A2" t="str">
        <x:v>A001</x:v>
      </x:c>
      <x:c r="B2" t="str">
        <x:v>Hierarchical Diffusion Policy for Kinematics-Aware Multi-Task Robotic Manipulation</x:v>
      </x:c>
      <x:c r="C2" t="str">
        <x:v>Ma, Xiao; Patidar, Sumit; Haughton, Iain; James, Stephen</x:v>
      </x:c>
      <x:c r="D2" t="n">
        <x:v>2024</x:v>
      </x:c>
      <x:c r="E2" t="str">
        <x:v>CVPR</x:v>
      </x:c>
      <x:c r="F2" t="str">
        <x:v>A</x:v>
      </x:c>
      <x:c r="G2" t="str">
        <x:v>Official Conference Paper</x:v>
      </x:c>
      <x:c r="H2" t="str">
        <x:v>Method Paper</x:v>
      </x:c>
      <x:c r="I2" t="str">
        <x:v>A (CCF 7th edition; venue category not independently extracted from official PDF)</x:v>
      </x:c>
      <x:c r="J2" t="str">
        <x:v>Robot Manipulation / IL / Diffusion</x:v>
      </x:c>
      <x:c r="K2" t="str">
        <x:v>Robot Manipulation; Diffusion Policy / Hierarchical Control</x:v>
      </x:c>
      <x:c r="L2" t="e">
        <x:f>HYPERLINK("https://openaccess.thecvf.com/content/CVPR2024/html/Ma_Hierarchical_Diffusion_Policy_for_Kinematics-Aware_Multi-Task_Robotic_Manipulation_CVPR_2024_paper.html","论文")</x:f>
        <x:v>HYPERLINK is not implemented. linkLocation=https://openaccess.thecvf.com/content/CVPR2024/html/Ma_Hierarchical_Diffusion_Policy_for_Kinematics-Aware_Multi-Task_Robotic_Manipulation_CVPR_2024_paper.html, friendlyName=论文</x:v>
      </x:c>
      <x:c r="M2" t="str">
        <x:v>Unknown</x:v>
      </x:c>
      <x:c r="N2"/>
      <x:c r="O2"/>
      <x:c r="P2"/>
      <x:c r="Q2" t="str">
        <x:v>Unknown</x:v>
      </x:c>
      <x:c r="R2" t="str">
        <x:v>Unknown</x:v>
      </x:c>
      <x:c r="S2"/>
      <x:c r="T2" t="str">
        <x:v>Unknown</x:v>
      </x:c>
      <x:c r="U2" t="str">
        <x:v>Unknown</x:v>
      </x:c>
      <x:c r="V2" t="str">
        <x:v>Single Arm</x:v>
      </x:c>
      <x:c r="W2" t="str">
        <x:v>Single Arm</x:v>
      </x:c>
      <x:c r="X2" t="str">
        <x:v>Unknown</x:v>
      </x:c>
      <x:c r="Y2" t="str">
        <x:v>Mixed</x:v>
      </x:c>
      <x:c r="Z2" t="str">
        <x:v>Unknown</x:v>
      </x:c>
      <x:c r="AA2" t="str">
        <x:v>Unknown</x:v>
      </x:c>
      <x:c r="AB2" t="str">
        <x:v>Unknown</x:v>
      </x:c>
      <x:c r="AC2" t="str">
        <x:v>P0</x:v>
      </x:c>
      <x:c r="AD2" t="str">
        <x:v>Official proceedings verified; CCF A via user-provided CCF 7th-edition venue mapping</x:v>
      </x:c>
      <x:c r="AE2" t="str">
        <x:v>2026-09-19</x:v>
      </x:c>
      <x:c r="AF2" t="str">
        <x:v>Abstract reports simulation and real-world evaluation.</x:v>
      </x:c>
      <x:c r="AG2" t="str">
        <x:v>CCF A Conference</x:v>
      </x:c>
      <x:c r="AH2" t="str">
        <x:v>Official Conference Paper</x:v>
      </x:c>
      <x:c r="AI2" t="str">
        <x:v>No</x:v>
      </x:c>
      <x:c r="AJ2" t="str">
        <x:v>02_Papers/06_Diffusion_Flow_IL_RL/Hierarchical_Diffusion_Policy_for_Kinematics-Aware_Multi-Task_Robotic_Manipulation.md</x:v>
      </x:c>
      <x:c r="AK2" t="str">
        <x:v>Strict CCF A</x:v>
      </x:c>
      <x:c r="AL2" t="str">
        <x:v>https://openaccess.thecvf.com/content/CVPR2024/html/Ma_Hierarchical_Diffusion_Policy_for_Kinematics-Aware_Multi-Task_Robotic_Manipulation_CVPR_2024_paper.html; official abstract/proceedings metadata</x:v>
      </x:c>
      <x:c r="AM2" t="str">
        <x:v>Abstract-level</x:v>
      </x:c>
      <x:c r="AN2" t="str">
        <x:v>Robot Manipulation / IL / Diffusion</x:v>
      </x:c>
      <x:c r="AO2" t="str">
        <x:v>See canonical card Research Summary; generated only from official abstract-level evidence.</x:v>
      </x:c>
      <x:c r="AP2" t="str">
        <x:v>Robot Manipulation; Diffusion Policy / Hierarchical Control</x:v>
      </x:c>
      <x:c r="AQ2" t="str">
        <x:v>Real Robot=Mixed; Dataset/Benchmark/Robot Platform retain Unknown when not verified.</x:v>
      </x:c>
      <x:c r="AR2" t="str">
        <x:v>** 与机器人操作、模仿学习或策略泛化相关；是否进入 L2/L3 取决于与双臂普通夹爪平台的可迁移性。</x:v>
      </x:c>
      <x:c r="AS2" t="str">
        <x:v>Project-stated CCF seventh-edition mapping; official row pending where noted</x:v>
      </x:c>
      <x:c r="AT2" t="str">
        <x:v>Diffusion / Flow / IL / RL</x:v>
      </x:c>
      <x:c r="AU2" t="n">
        <x:v>54</x:v>
      </x:c>
      <x:c r="AV2" t="str">
        <x:v>OpenAlex</x:v>
      </x:c>
      <x:c r="AW2" t="str">
        <x:v>2026-09-25</x:v>
      </x:c>
      <x:c r="AX2" t="str">
        <x:v>多任务机器人操作要同时决定高层子目标和符合运动学的连续动作。</x:v>
      </x:c>
      <x:c r="AY2" t="str">
        <x:v>Unknown / Needs Full-Paper Verification</x:v>
      </x:c>
      <x:c r="AZ2" t="str">
        <x:v>以 `Robot Manipulation; Diffusion Policy / Hierarchical Control` 为主要方法/能力线索；更细的结构和消融结论待正文核验。</x:v>
      </x:c>
      <x:c r="BA2" t="str">
        <x:v>已核验摘要未明确说明；需查阅论文方法与实验章节。</x:v>
      </x:c>
      <x:c r="BB2" t="str">
        <x:v>Unknown / Needs Full-Paper Verification</x:v>
      </x:c>
      <x:c r="BC2" t="str">
        <x:v>- This paper introduces Hierarchical Diffusion Policy (HDP) a hierarchical agent for multi-task robotic manipulation.</x:v>
      </x:c>
      <x:c r="BD2" t="str">
        <x:v>Real Robot 字段为 `Mixed`；Dataset、Benchmark、Robot Platform 中的 Unknown 继续保留，不从题名推断。</x:v>
      </x:c>
      <x:c r="BE2" t="str">
        <x:v>作者报告仿真和真机成功率高于所比较方法；具体数值见实验表。</x:v>
      </x:c>
      <x:c r="BF2" t="str">
        <x:v>Unknown / Needs Full-Paper Verification</x:v>
      </x:c>
      <x:c r="BG2" t="str">
        <x:v>Library Analysis / Research Note: Unknown / Needs Full-Paper Verification</x:v>
      </x:c>
      <x:c r="BH2" t="str">
        <x:v>Robot Manipulation; Diffusion Policy / Hierarchical Control</x:v>
      </x:c>
      <x:c r="BI2" t="str">
        <x:v>B</x:v>
      </x:c>
      <x:c r="BJ2"/>
      <x:c r="BK2" t="str">
        <x:v>Unknown / Not Explicitly Reported in the currently accessible sources.</x:v>
      </x:c>
      <x:c r="BL2" t="str">
        <x:v>Unknown / Not Explicitly Reported in the currently accessible sources.</x:v>
      </x:c>
      <x:c r="BM2" t="str">
        <x:v>https://openalex.org/W4402727783</x:v>
      </x:c>
      <x:c r="BN2" t="str">
        <x:v>https://openaccess.thecvf.com/content/CVPR2024/html/Ma_Hierarchical_Diffusion_Policy_for_Kinematics-Aware_Multi-Task_Robotic_Manipulation_CVPR_2024_paper.html；官方摘要/论文集元数据</x:v>
      </x:c>
      <x:c r="BO2" t="str">
        <x:v>B-Fulltext-Unavailable</x:v>
      </x:c>
      <x:c r="BP2" t="str">
        <x:v>Not Found</x:v>
      </x:c>
      <x:c r="BQ2" t="str">
        <x:v>Unknown</x:v>
      </x:c>
      <x:c r="BR2" t="str">
        <x:v>Unknown</x:v>
      </x:c>
      <x:c r="BS2" t="str">
        <x:v>https://openaccess.thecvf.com/content/CVPR2024/papers/Ma_Hierarchical_Diffusion_Policy_for_Kinematics-Aware_Multi-Task_Robotic_Manipulation_CVPR_2024_paper.pdf</x:v>
      </x:c>
      <x:c r="BT2" t="str">
        <x:v>No</x:v>
      </x:c>
      <x:c r="BU2" t="str">
        <x:v>No</x:v>
      </x:c>
      <x:c r="BV2" t="str">
        <x:v>No</x:v>
      </x:c>
      <x:c r="BW2" t="str">
        <x:v>No</x:v>
      </x:c>
      <x:c r="BX2" t="str">
        <x:v>No</x:v>
      </x:c>
      <x:c r="BY2" t="str">
        <x:v>No</x:v>
      </x:c>
      <x:c r="BZ2" t="str">
        <x:v>No</x:v>
      </x:c>
      <x:c r="CA2" t="str">
        <x:v>Matched</x:v>
      </x:c>
      <x:c r="CB2" t="str">
        <x:v>Not Found After Verification</x:v>
      </x:c>
      <x:c r="CC2" t="str">
        <x:v>Not Found After Verification</x:v>
      </x:c>
      <x:c r="CD2" t="str">
        <x:v>Audit logged - deep extraction pending</x:v>
      </x:c>
      <x:c r="CE2" t="str">
        <x:v>false</x:v>
      </x:c>
      <x:c r="CF2"/>
      <x:c r="CG2" t="str">
        <x:v>研究问题：多任务机器人操作要同时决定高层子目标和符合运动学的连续动作。；之前方法的问题：单层扩散策略可能难兼顾长任务结构与局部可达性。；核心思路：Hierarchical Diffusion Policy 将任务规划与运动学感知的动作生成分层处理。；主要结果：作者报告仿真和真机成功率高于所比较方法；具体数值见实验表。；为什么重要：可对照双臂任务中高层分工与低层动作生成。；与当前项目的关系：High：双臂普通夹爪也需要运动学约束和任务分解。；主要局限：需核验在两臂共享工作空间中的约束处理。</x:v>
      </x:c>
      <x:c r="CH2" t="str">
        <x:v>单层扩散策略可能难兼顾长任务结构与局部可达性。</x:v>
      </x:c>
      <x:c r="CI2" t="str">
        <x:v>Hierarchical Diffusion Policy 将任务规划与运动学感知的动作生成分层处理。</x:v>
      </x:c>
      <x:c r="CJ2"/>
      <x:c r="CK2" t="str">
        <x:v>作者报告仿真和真机成功率高于所比较方法；具体数值见实验表。</x:v>
      </x:c>
      <x:c r="CL2" t="str">
        <x:v>可对照双臂任务中高层分工与低层动作生成。</x:v>
      </x:c>
      <x:c r="CM2" t="str">
        <x:v>需核验在两臂共享工作空间中的约束处理。</x:v>
      </x:c>
      <x:c r="CN2"/>
      <x:c r="CO2" t="str">
        <x:v>High：双臂普通夹爪也需要运动学约束和任务分解。</x:v>
      </x:c>
      <x:c r="CP2" t="str">
        <x:v>官方摘要/论文页; https://openaccess.thecvf.com/content/CVPR2024/html/Ma_Hierarchical_Diffusion_Policy_for_Kinematics-Aware_Multi-Task_Robotic_Manipulation_CVPR_2024_paper.html; 核验于 2026-09-23. 仅为摘要级速读；原 Evidence Quality 不变。 - 核验层级：摘要有可追溯来源</x:v>
      </x:c>
      <x:c r="CQ2" t="str">
        <x:v>title</x:v>
      </x:c>
      <x:c r="CR2" t="n">
        <x:v>0</x:v>
      </x:c>
      <x:c r="CS2" t="n">
        <x:v>1</x:v>
      </x:c>
    </x:row>
    <x:row r="3" ht="58" customHeight="1">
      <x:c r="A3" t="str">
        <x:v>A002</x:v>
      </x:c>
      <x:c r="B3" t="str">
        <x:v>Rethinking Bimanual Robotic Manipulation: Learning with Decoupled Interaction Framework</x:v>
      </x:c>
      <x:c r="C3" t="str">
        <x:v>Jiang, Jian-Jian; Wu, Xiao-Ming; He, Yi-Xiang; Zeng, Ling-An; Wei, Yi-Lin; Zhang, Dandan; Zheng, Wei-Shi</x:v>
      </x:c>
      <x:c r="D3" t="n">
        <x:v>2025</x:v>
      </x:c>
      <x:c r="E3" t="str">
        <x:v>ICCV</x:v>
      </x:c>
      <x:c r="F3" t="str">
        <x:v>A</x:v>
      </x:c>
      <x:c r="G3" t="str">
        <x:v>Official Conference Paper</x:v>
      </x:c>
      <x:c r="H3" t="str">
        <x:v>Method Paper</x:v>
      </x:c>
      <x:c r="I3" t="str">
        <x:v>A (CCF 7th edition; venue category not independently extracted from official PDF)</x:v>
      </x:c>
      <x:c r="J3" t="str">
        <x:v>Robot Manipulation / IL / Diffusion; Bimanual</x:v>
      </x:c>
      <x:c r="K3" t="str">
        <x:v>bimanual manipulation; decoupled interaction; RoboTwin</x:v>
      </x:c>
      <x:c r="L3" t="e">
        <x:f>HYPERLINK("https://openaccess.thecvf.com/content/ICCV2025/html/Jiang_Rethinking_Bimanual_Robotic_Manipulation_Learning_with_Decoupled_Interaction_Framework_ICCV_2025_paper.html","论文")</x:f>
        <x:v>HYPERLINK is not implemented. linkLocation=https://openaccess.thecvf.com/content/ICCV2025/html/Jiang_Rethinking_Bimanual_Robotic_Manipulation_Learning_with_Decoupled_Interaction_Framework_ICCV_2025_paper.html, friendlyName=论文</x:v>
      </x:c>
      <x:c r="M3" t="str">
        <x:v>Unknown</x:v>
      </x:c>
      <x:c r="N3"/>
      <x:c r="O3"/>
      <x:c r="P3"/>
      <x:c r="Q3" t="str">
        <x:v>Unknown</x:v>
      </x:c>
      <x:c r="R3" t="str">
        <x:v>Unknown</x:v>
      </x:c>
      <x:c r="S3"/>
      <x:c r="T3" t="str">
        <x:v>Unknown</x:v>
      </x:c>
      <x:c r="U3" t="str">
        <x:v>Unknown</x:v>
      </x:c>
      <x:c r="V3" t="str">
        <x:v>Bimanual / Parallel Gripper</x:v>
      </x:c>
      <x:c r="W3" t="str">
        <x:v>Bimanual</x:v>
      </x:c>
      <x:c r="X3" t="str">
        <x:v>Parallel Gripper</x:v>
      </x:c>
      <x:c r="Y3" t="str">
        <x:v>Unknown</x:v>
      </x:c>
      <x:c r="Z3" t="str">
        <x:v>Unknown</x:v>
      </x:c>
      <x:c r="AA3" t="str">
        <x:v>Unknown</x:v>
      </x:c>
      <x:c r="AB3" t="str">
        <x:v>Unknown</x:v>
      </x:c>
      <x:c r="AC3" t="str">
        <x:v>P0</x:v>
      </x:c>
      <x:c r="AD3" t="str">
        <x:v>Official proceedings verified; CCF A via user-provided CCF 7th-edition venue mapping</x:v>
      </x:c>
      <x:c r="AE3" t="str">
        <x:v>2026-09-19</x:v>
      </x:c>
      <x:c r="AF3" t="str">
        <x:v>Evaluated on seven RoboTwin tasks; real robot status not stated in abstract.</x:v>
      </x:c>
      <x:c r="AG3" t="str">
        <x:v>CCF A Conference</x:v>
      </x:c>
      <x:c r="AH3" t="str">
        <x:v>Official Conference Paper</x:v>
      </x:c>
      <x:c r="AI3" t="str">
        <x:v>No</x:v>
      </x:c>
      <x:c r="AJ3" t="str">
        <x:v>02_Papers/03_Bimanual/Rethinking_Bimanual_Robotic_Manipulation_Learning_with_Decoupled_Interaction_Framework.md</x:v>
      </x:c>
      <x:c r="AK3" t="str">
        <x:v>Strict CCF A</x:v>
      </x:c>
      <x:c r="AL3" t="str">
        <x:v>https://openaccess.thecvf.com/content/ICCV2025/html/Jiang_Rethinking_Bimanual_Robotic_Manipulation_Learning_with_Decoupled_Interaction_Framework_ICCV_2025_paper.html; official abstract/proceedings metadata</x:v>
      </x:c>
      <x:c r="AM3" t="str">
        <x:v>Abstract-level</x:v>
      </x:c>
      <x:c r="AN3" t="str">
        <x:v>Robot Manipulation / IL / Diffusion; Bimanual</x:v>
      </x:c>
      <x:c r="AO3" t="str">
        <x:v>See canonical card Research Summary; generated only from official abstract-level evidence.</x:v>
      </x:c>
      <x:c r="AP3" t="str">
        <x:v>bimanual manipulation; decoupled interaction; RoboTwin</x:v>
      </x:c>
      <x:c r="AQ3" t="str">
        <x:v>Real Robot=Unknown; Dataset/Benchmark/Robot Platform retain Unknown when not verified.</x:v>
      </x:c>
      <x:c r="AR3" t="str">
        <x:v>** 与 NERO 双臂、普通夹爪、示范采集和双臂策略学习直接相关，优先评估动作表示与协同控制是否可迁移。</x:v>
      </x:c>
      <x:c r="AS3" t="str">
        <x:v>Project-stated CCF seventh-edition mapping; official row pending where noted</x:v>
      </x:c>
      <x:c r="AT3" t="str">
        <x:v>Bimanual</x:v>
      </x:c>
      <x:c r="AU3" t="n">
        <x:v>0</x:v>
      </x:c>
      <x:c r="AV3" t="str">
        <x:v>OpenAlex</x:v>
      </x:c>
      <x:c r="AW3" t="str">
        <x:v>2026-09-25</x:v>
      </x:c>
      <x:c r="AX3" t="str">
        <x:v>不同双臂任务的交互结构不同，统一耦合方式未必合适。</x:v>
      </x:c>
      <x:c r="AY3" t="str">
        <x:v>Unknown / Needs Full-Paper Verification</x:v>
      </x:c>
      <x:c r="AZ3" t="str">
        <x:v>以 `bimanual manipulation; decoupled interaction; RoboTwin` 为主要方法/能力线索；更细的结构和消融结论待正文核验。</x:v>
      </x:c>
      <x:c r="BA3" t="str">
        <x:v>RoboTwin 七项任务。</x:v>
      </x:c>
      <x:c r="BB3" t="str">
        <x:v>Unknown / Needs Full-Paper Verification</x:v>
      </x:c>
      <x:c r="BC3" t="str">
        <x:v>- In this paper, we propose a novel decoupled interaction framework that considers the characteristics of different tasks in bimanual manipulation.</x:v>
      </x:c>
      <x:c r="BD3" t="str">
        <x:v>Real Robot 字段为 `Unknown`；Dataset、Benchmark、Robot Platform 中的 Unknown 继续保留，不从题名推断。</x:v>
      </x:c>
      <x:c r="BE3" t="str">
        <x:v>论文报告在七项 RoboTwin 任务上较所比较 SOTA 提升 23.5%；具体指标定义见原文。</x:v>
      </x:c>
      <x:c r="BF3" t="str">
        <x:v>Unknown / Needs Full-Paper Verification</x:v>
      </x:c>
      <x:c r="BG3" t="str">
        <x:v>Library Analysis / Research Note: Unknown / Needs Full-Paper Verification</x:v>
      </x:c>
      <x:c r="BH3" t="str">
        <x:v>bimanual manipulation; decoupled interaction; RoboTwin</x:v>
      </x:c>
      <x:c r="BI3" t="str">
        <x:v>B</x:v>
      </x:c>
      <x:c r="BJ3"/>
      <x:c r="BK3" t="str">
        <x:v>Unknown / Not Explicitly Reported in the currently accessible sources.</x:v>
      </x:c>
      <x:c r="BL3" t="str">
        <x:v>Unknown / Not Explicitly Reported in the currently accessible sources.</x:v>
      </x:c>
      <x:c r="BM3" t="str">
        <x:v>https://openalex.org/W4415101881</x:v>
      </x:c>
      <x:c r="BN3" t="str">
        <x:v>https://openaccess.thecvf.com/content/ICCV2025/html/Jiang_Rethinking_Bimanual_Robotic_Manipulation_Learning_with_Decoupled_Interaction_Framework_ICCV_2025_paper.html；官方摘要/论文集元数据</x:v>
      </x:c>
      <x:c r="BO3" t="str">
        <x:v>B-Fulltext-Unavailable</x:v>
      </x:c>
      <x:c r="BP3" t="str">
        <x:v>Not Found</x:v>
      </x:c>
      <x:c r="BQ3" t="str">
        <x:v>Unknown</x:v>
      </x:c>
      <x:c r="BR3" t="str">
        <x:v>Unknown</x:v>
      </x:c>
      <x:c r="BS3" t="str">
        <x:v>https://openaccess.thecvf.com/content/ICCV2025/papers/Jiang_Rethinking_Bimanual_Robotic_Manipulation_Learning_with_Decoupled_Interaction_Framework_ICCV_2025_paper.pdf</x:v>
      </x:c>
      <x:c r="BT3" t="str">
        <x:v>No</x:v>
      </x:c>
      <x:c r="BU3" t="str">
        <x:v>No</x:v>
      </x:c>
      <x:c r="BV3" t="str">
        <x:v>No</x:v>
      </x:c>
      <x:c r="BW3" t="str">
        <x:v>No</x:v>
      </x:c>
      <x:c r="BX3" t="str">
        <x:v>No</x:v>
      </x:c>
      <x:c r="BY3" t="str">
        <x:v>No</x:v>
      </x:c>
      <x:c r="BZ3" t="str">
        <x:v>No</x:v>
      </x:c>
      <x:c r="CA3" t="str">
        <x:v>Matched</x:v>
      </x:c>
      <x:c r="CB3" t="str">
        <x:v>Not Found After Verification</x:v>
      </x:c>
      <x:c r="CC3" t="str">
        <x:v>Not Found After Verification</x:v>
      </x:c>
      <x:c r="CD3" t="str">
        <x:v>Audit logged - deep extraction pending</x:v>
      </x:c>
      <x:c r="CE3" t="str">
        <x:v>false</x:v>
      </x:c>
      <x:c r="CF3"/>
      <x:c r="CG3" t="str">
        <x:v>研究问题：不同双臂任务的交互结构不同，统一耦合方式未必合适。；之前方法的问题：始终联合预测双臂动作，可能忽略支撑手与操作手的不同职责。；核心思路：按任务交互特点设计解耦框架，让双臂策略分别处理可分解的部分并保持必要协调。；数据集与评测基准：RoboTwin 七项任务。；主要结果：论文报告在七项 RoboTwin 任务上较所比较 SOTA 提升 23.5%；具体指标定义见原文。；为什么重要：为联合预测与分臂预测的实验对照提供方法。；与当前项目的关系：High：普通夹爪常有支撑—操作分工。；主要局限：仿真 benchmark 上的优势仍需真机接触任务验证。</x:v>
      </x:c>
      <x:c r="CH3" t="str">
        <x:v>始终联合预测双臂动作，可能忽略支撑手与操作手的不同职责。</x:v>
      </x:c>
      <x:c r="CI3" t="str">
        <x:v>按任务交互特点设计解耦框架，让双臂策略分别处理可分解的部分并保持必要协调。</x:v>
      </x:c>
      <x:c r="CJ3"/>
      <x:c r="CK3" t="str">
        <x:v>论文报告在七项 RoboTwin 任务上较所比较 SOTA 提升 23.5%；具体指标定义见原文。</x:v>
      </x:c>
      <x:c r="CL3" t="str">
        <x:v>为联合预测与分臂预测的实验对照提供方法。</x:v>
      </x:c>
      <x:c r="CM3" t="str">
        <x:v>仿真 benchmark 上的优势仍需真机接触任务验证。</x:v>
      </x:c>
      <x:c r="CN3"/>
      <x:c r="CO3" t="str">
        <x:v>High：普通夹爪常有支撑—操作分工。</x:v>
      </x:c>
      <x:c r="CP3" t="str">
        <x:v>官方摘要/论文页; https://openaccess.thecvf.com/content/ICCV2025/html/Jiang_Rethinking_Bimanual_Robotic_Manipulation_Learning_with_Decoupled_Interaction_Framework_ICCV_2025_paper.html; 核验于 2026-09-23. 仅为摘要级速读；原 Evidence Quality 不变。 - 核验层级：摘要有可追溯来源</x:v>
      </x:c>
      <x:c r="CQ3" t="str">
        <x:v>title</x:v>
      </x:c>
      <x:c r="CR3" t="n">
        <x:v>0</x:v>
      </x:c>
      <x:c r="CS3" t="n">
        <x:v>0</x:v>
      </x:c>
    </x:row>
    <x:row r="4" ht="58" customHeight="1">
      <x:c r="A4" t="str">
        <x:v>A003</x:v>
      </x:c>
      <x:c r="B4" t="str">
        <x:v>Diffusion-Based Imaginative Coordination for Bimanual Manipulation</x:v>
      </x:c>
      <x:c r="C4" t="str">
        <x:v>Xu, Huilin; Ding, Jian; Xu, Jiakun; Wang, Ruixiang; Chen, Jun; Mai, Jinjie; Fu, Yanwei; Ghanem, Bernard; Xu, Feng; Elhoseiny, Mohamed</x:v>
      </x:c>
      <x:c r="D4" t="n">
        <x:v>2025</x:v>
      </x:c>
      <x:c r="E4" t="str">
        <x:v>ICCV</x:v>
      </x:c>
      <x:c r="F4" t="str">
        <x:v>A</x:v>
      </x:c>
      <x:c r="G4" t="str">
        <x:v>Official Conference Paper</x:v>
      </x:c>
      <x:c r="H4" t="str">
        <x:v>Method Paper</x:v>
      </x:c>
      <x:c r="I4" t="str">
        <x:v>A (CCF 7th edition; venue category not independently extracted from official PDF)</x:v>
      </x:c>
      <x:c r="J4" t="str">
        <x:v>Robot Manipulation / IL / Diffusion; Bimanual</x:v>
      </x:c>
      <x:c r="K4" t="str">
        <x:v>bimanual; diffusion; teleoperation; human demonstration</x:v>
      </x:c>
      <x:c r="L4" t="e">
        <x:f>HYPERLINK("https://openaccess.thecvf.com/content/ICCV2025/html/Xu_Diffusion-Based_Imaginative_Coordination_for_Bimanual_Manipulation_ICCV_2025_paper.html","论文")</x:f>
        <x:v>HYPERLINK is not implemented. linkLocation=https://openaccess.thecvf.com/content/ICCV2025/html/Xu_Diffusion-Based_Imaginative_Coordination_for_Bimanual_Manipulation_ICCV_2025_paper.html, friendlyName=论文</x:v>
      </x:c>
      <x:c r="M4" t="str">
        <x:v>Unknown</x:v>
      </x:c>
      <x:c r="N4"/>
      <x:c r="O4"/>
      <x:c r="P4"/>
      <x:c r="Q4" t="str">
        <x:v>Unknown</x:v>
      </x:c>
      <x:c r="R4" t="str">
        <x:v>Unknown</x:v>
      </x:c>
      <x:c r="S4"/>
      <x:c r="T4" t="str">
        <x:v>Unknown</x:v>
      </x:c>
      <x:c r="U4" t="str">
        <x:v>Unknown</x:v>
      </x:c>
      <x:c r="V4" t="str">
        <x:v>Bimanual / Parallel Gripper</x:v>
      </x:c>
      <x:c r="W4" t="str">
        <x:v>Bimanual</x:v>
      </x:c>
      <x:c r="X4" t="str">
        <x:v>Parallel Gripper</x:v>
      </x:c>
      <x:c r="Y4" t="str">
        <x:v>Yes</x:v>
      </x:c>
      <x:c r="Z4" t="str">
        <x:v>Unknown</x:v>
      </x:c>
      <x:c r="AA4" t="str">
        <x:v>Unknown</x:v>
      </x:c>
      <x:c r="AB4" t="str">
        <x:v>Unknown</x:v>
      </x:c>
      <x:c r="AC4" t="str">
        <x:v>P0</x:v>
      </x:c>
      <x:c r="AD4" t="str">
        <x:v>Official proceedings verified; CCF A via user-provided CCF 7th-edition venue mapping</x:v>
      </x:c>
      <x:c r="AE4" t="str">
        <x:v>2026-09-19</x:v>
      </x:c>
      <x:c r="AF4" t="str">
        <x:v>Paper PDF reports 50 human teleoperation demonstrations per task and real robot experiments.</x:v>
      </x:c>
      <x:c r="AG4" t="str">
        <x:v>CCF A Conference</x:v>
      </x:c>
      <x:c r="AH4" t="str">
        <x:v>Official Conference Paper</x:v>
      </x:c>
      <x:c r="AI4" t="str">
        <x:v>No</x:v>
      </x:c>
      <x:c r="AJ4" t="str">
        <x:v>02_Papers/03_Bimanual/Diffusion-Based_Imaginative_Coordination_for_Bimanual_Manipulation.md</x:v>
      </x:c>
      <x:c r="AK4" t="str">
        <x:v>Strict CCF A</x:v>
      </x:c>
      <x:c r="AL4" t="str">
        <x:v>https://openaccess.thecvf.com/content/ICCV2025/html/Xu_Diffusion-Based_Imaginative_Coordination_for_Bimanual_Manipulation_ICCV_2025_paper.html; official abstract/proceedings metadata</x:v>
      </x:c>
      <x:c r="AM4" t="str">
        <x:v>Abstract-level</x:v>
      </x:c>
      <x:c r="AN4" t="str">
        <x:v>Robot Manipulation / IL / Diffusion; Bimanual</x:v>
      </x:c>
      <x:c r="AO4" t="str">
        <x:v>See canonical card Research Summary; generated only from official abstract-level evidence.</x:v>
      </x:c>
      <x:c r="AP4" t="str">
        <x:v>bimanual; diffusion; teleoperation; human demonstration</x:v>
      </x:c>
      <x:c r="AQ4" t="str">
        <x:v>Real Robot=Yes; Dataset/Benchmark/Robot Platform retain Unknown when not verified.</x:v>
      </x:c>
      <x:c r="AR4" t="str">
        <x:v>** 与 NERO 双臂、普通夹爪、示范采集和双臂策略学习直接相关，优先评估动作表示与协同控制是否可迁移。</x:v>
      </x:c>
      <x:c r="AS4" t="str">
        <x:v>Project-stated CCF seventh-edition mapping; official row pending where noted</x:v>
      </x:c>
      <x:c r="AT4" t="str">
        <x:v>Bimanual</x:v>
      </x:c>
      <x:c r="AU4" t="n">
        <x:v>0</x:v>
      </x:c>
      <x:c r="AV4" t="str">
        <x:v>OpenAlex</x:v>
      </x:c>
      <x:c r="AW4" t="str">
        <x:v>2026-09-25</x:v>
      </x:c>
      <x:c r="AX4" t="str">
        <x:v>复杂双臂任务需要预测动作，也需要理解后续视觉状态。</x:v>
      </x:c>
      <x:c r="AY4" t="str">
        <x:v>Unknown / Needs Full-Paper Verification</x:v>
      </x:c>
      <x:c r="AZ4" t="str">
        <x:v>以 `bimanual; diffusion; teleoperation; human demonstration` 为主要方法/能力线索；更细的结构和消融结论待正文核验。</x:v>
      </x:c>
      <x:c r="BA4" t="str">
        <x:v>两项仿真 benchmark 与一项真机设置。</x:v>
      </x:c>
      <x:c r="BB4" t="str">
        <x:v>Unknown / Needs Full-Paper Verification</x:v>
      </x:c>
      <x:c r="BC4" t="str">
        <x:v>- To bridge this gap, we propose a unified diffusion-based framework for the joint optimi</x:v>
      </x:c>
      <x:c r="BD4" t="str">
        <x:v>Real Robot 字段为 `Yes`；Dataset、Benchmark、Robot Platform 中的 Unknown 继续保留，不从题名推断。</x:v>
      </x:c>
      <x:c r="BE4" t="str">
        <x:v>论文报告在上述设置中成功率高于 ACT 基线；具体差值需核对实验表。</x:v>
      </x:c>
      <x:c r="BF4" t="str">
        <x:v>Unknown / Needs Full-Paper Verification</x:v>
      </x:c>
      <x:c r="BG4" t="str">
        <x:v>Library Analysis / Research Note: Unknown / Needs Full-Paper Verification</x:v>
      </x:c>
      <x:c r="BH4" t="str">
        <x:v>bimanual; diffusion; teleoperation; human demonstration</x:v>
      </x:c>
      <x:c r="BI4" t="str">
        <x:v>B</x:v>
      </x:c>
      <x:c r="BJ4"/>
      <x:c r="BK4" t="str">
        <x:v>Unknown / Not Explicitly Reported in the currently accessible sources.</x:v>
      </x:c>
      <x:c r="BL4" t="str">
        <x:v>Unknown / Not Explicitly Reported in the currently accessible sources.</x:v>
      </x:c>
      <x:c r="BM4" t="str">
        <x:v>https://openalex.org/W4414754983</x:v>
      </x:c>
      <x:c r="BN4" t="str">
        <x:v>https://openaccess.thecvf.com/content/ICCV2025/html/Xu_Diffusion-Based_Imaginative_Coordination_for_Bimanual_Manipulation_ICCV_2025_paper.html；官方摘要/论文集元数据</x:v>
      </x:c>
      <x:c r="BO4" t="str">
        <x:v>B-Fulltext-Unavailable</x:v>
      </x:c>
      <x:c r="BP4" t="str">
        <x:v>Not Found</x:v>
      </x:c>
      <x:c r="BQ4" t="str">
        <x:v>Unknown</x:v>
      </x:c>
      <x:c r="BR4" t="str">
        <x:v>Unknown</x:v>
      </x:c>
      <x:c r="BS4" t="str">
        <x:v>https://openaccess.thecvf.com/content/ICCV2025/papers/Xu_Diffusion-Based_Imaginative_Coordination_for_Bimanual_Manipulation_ICCV_2025_paper.pdf</x:v>
      </x:c>
      <x:c r="BT4" t="str">
        <x:v>No</x:v>
      </x:c>
      <x:c r="BU4" t="str">
        <x:v>No</x:v>
      </x:c>
      <x:c r="BV4" t="str">
        <x:v>No</x:v>
      </x:c>
      <x:c r="BW4" t="str">
        <x:v>No</x:v>
      </x:c>
      <x:c r="BX4" t="str">
        <x:v>No</x:v>
      </x:c>
      <x:c r="BY4" t="str">
        <x:v>No</x:v>
      </x:c>
      <x:c r="BZ4" t="str">
        <x:v>No</x:v>
      </x:c>
      <x:c r="CA4" t="str">
        <x:v>Matched</x:v>
      </x:c>
      <x:c r="CB4" t="str">
        <x:v>Not Found After Verification</x:v>
      </x:c>
      <x:c r="CC4" t="str">
        <x:v>Not Found After Verification</x:v>
      </x:c>
      <x:c r="CD4" t="str">
        <x:v>Audit logged - deep extraction pending</x:v>
      </x:c>
      <x:c r="CE4" t="str">
        <x:v>false</x:v>
      </x:c>
      <x:c r="CF4"/>
      <x:c r="CG4" t="str">
        <x:v>研究问题：复杂双臂任务需要预测动作，也需要理解后续视觉状态。；之前方法的问题：只学动作或只生成视频，可能无法协调两臂与物体变化。；核心思路：联合优化视频预测与双臂动作生成，让策略在想象未来场景的同时协调执行。；数据集与评测基准：两项仿真 benchmark 与一项真机设置。；主要结果：论文报告在上述设置中成功率高于 ACT 基线；具体差值需核对实验表。；为什么重要：可测试视觉预期是否改善双臂协调。；与当前项目的关系：High：双臂普通夹爪可对照 ACT 与带未来预测的策略。</x:v>
      </x:c>
      <x:c r="CH4" t="str">
        <x:v>只学动作或只生成视频，可能无法协调两臂与物体变化。</x:v>
      </x:c>
      <x:c r="CI4" t="str">
        <x:v>联合优化视频预测与双臂动作生成，让策略在想象未来场景的同时协调执行。</x:v>
      </x:c>
      <x:c r="CJ4"/>
      <x:c r="CK4" t="str">
        <x:v>论文报告在上述设置中成功率高于 ACT 基线；具体差值需核对实验表。</x:v>
      </x:c>
      <x:c r="CL4" t="str">
        <x:v>可测试视觉预期是否改善双臂协调。</x:v>
      </x:c>
      <x:c r="CM4" t="str">
        <x:v>真机环境和失败类型的完整覆盖仍需查正文。</x:v>
      </x:c>
      <x:c r="CN4"/>
      <x:c r="CO4" t="str">
        <x:v>High：双臂普通夹爪可对照 ACT 与带未来预测的策略。</x:v>
      </x:c>
      <x:c r="CP4" t="str">
        <x:v>官方摘要/论文页; https://openaccess.thecvf.com/content/ICCV2025/html/Xu_Diffusion-Based_Imaginative_Coordination_for_Bimanual_Manipulation_ICCV_2025_paper.html; 核验于 2026-09-23. 仅为摘要级速读；原 Evidence Quality 不变。 - 核验层级：摘要有可追溯来源</x:v>
      </x:c>
      <x:c r="CQ4" t="str">
        <x:v>title</x:v>
      </x:c>
      <x:c r="CR4" t="n">
        <x:v>0</x:v>
      </x:c>
      <x:c r="CS4" t="n">
        <x:v>0</x:v>
      </x:c>
    </x:row>
    <x:row r="5" ht="58" customHeight="1">
      <x:c r="A5" t="str">
        <x:v>A004</x:v>
      </x:c>
      <x:c r="B5" t="str">
        <x:v>Learning Diffusion Policy from Primitive Skills for Robot Manipulation</x:v>
      </x:c>
      <x:c r="C5" t="str">
        <x:v>Unknown — not extracted in this pass</x:v>
      </x:c>
      <x:c r="D5" t="n">
        <x:v>2026</x:v>
      </x:c>
      <x:c r="E5" t="str">
        <x:v>AAAI</x:v>
      </x:c>
      <x:c r="F5" t="str">
        <x:v>A</x:v>
      </x:c>
      <x:c r="G5" t="str">
        <x:v>Official Conference Paper</x:v>
      </x:c>
      <x:c r="H5" t="str">
        <x:v>Method Paper</x:v>
      </x:c>
      <x:c r="I5" t="str">
        <x:v>A (CCF 7th edition; venue category not independently extracted from official PDF)</x:v>
      </x:c>
      <x:c r="J5" t="str">
        <x:v>Robot Manipulation / IL / Diffusion</x:v>
      </x:c>
      <x:c r="K5" t="str">
        <x:v>Robot Manipulation; Diffusion Policy / Primitive Skills</x:v>
      </x:c>
      <x:c r="L5" t="e">
        <x:f>HYPERLINK("https://ojs.aaai.org/index.php/AAAI/article/view/38889","论文")</x:f>
        <x:v>HYPERLINK is not implemented. linkLocation=https://ojs.aaai.org/index.php/AAAI/article/view/38889, friendlyName=论文</x:v>
      </x:c>
      <x:c r="M5" t="str">
        <x:v>Unknown</x:v>
      </x:c>
      <x:c r="N5"/>
      <x:c r="O5"/>
      <x:c r="P5"/>
      <x:c r="Q5" t="str">
        <x:v>Unknown</x:v>
      </x:c>
      <x:c r="R5" t="str">
        <x:v>Unknown</x:v>
      </x:c>
      <x:c r="S5"/>
      <x:c r="T5" t="str">
        <x:v>Unknown</x:v>
      </x:c>
      <x:c r="U5" t="str">
        <x:v>Unknown</x:v>
      </x:c>
      <x:c r="V5" t="str">
        <x:v>Parallel Gripper</x:v>
      </x:c>
      <x:c r="W5" t="str">
        <x:v>Unknown</x:v>
      </x:c>
      <x:c r="X5" t="str">
        <x:v>Parallel Gripper</x:v>
      </x:c>
      <x:c r="Y5" t="str">
        <x:v>Mixed</x:v>
      </x:c>
      <x:c r="Z5" t="str">
        <x:v>Unknown</x:v>
      </x:c>
      <x:c r="AA5" t="str">
        <x:v>Unknown</x:v>
      </x:c>
      <x:c r="AB5" t="str">
        <x:v>Unknown</x:v>
      </x:c>
      <x:c r="AC5" t="str">
        <x:v>P1</x:v>
      </x:c>
      <x:c r="AD5" t="str">
        <x:v>Official proceedings verified; CCF A via user-provided CCF 7th-edition venue mapping</x:v>
      </x:c>
      <x:c r="AE5" t="str">
        <x:v>2026-09-19</x:v>
      </x:c>
      <x:c r="AF5" t="str">
        <x:v>AAAI-26 intelligent robotics track; abstract reports simulation and real-world deployment.</x:v>
      </x:c>
      <x:c r="AG5" t="str">
        <x:v>CCF A Conference</x:v>
      </x:c>
      <x:c r="AH5" t="str">
        <x:v>Official Conference Paper</x:v>
      </x:c>
      <x:c r="AI5" t="str">
        <x:v>No</x:v>
      </x:c>
      <x:c r="AJ5" t="str">
        <x:v>02_Papers/06_Diffusion_Flow_IL_RL/Learning_Diffusion_Policy_from_Primitive_Skills_for_Robot_Manipulation.md</x:v>
      </x:c>
      <x:c r="AK5" t="str">
        <x:v>Strict CCF A</x:v>
      </x:c>
      <x:c r="AL5" t="str">
        <x:v>https://ojs.aaai.org/index.php/AAAI/article/view/38889; official abstract/proceedings metadata</x:v>
      </x:c>
      <x:c r="AM5" t="str">
        <x:v>Abstract-level</x:v>
      </x:c>
      <x:c r="AN5" t="str">
        <x:v>Robot Manipulation / IL / Diffusion</x:v>
      </x:c>
      <x:c r="AO5" t="str">
        <x:v>Pending official abstract/full-text verification.</x:v>
      </x:c>
      <x:c r="AP5" t="str">
        <x:v>Robot Manipulation; Diffusion Policy / Primitive Skills</x:v>
      </x:c>
      <x:c r="AQ5" t="str">
        <x:v>Real Robot=Mixed; Dataset/Benchmark/Robot Platform retain Unknown when not verified.</x:v>
      </x:c>
      <x:c r="AR5" t="str">
        <x:v>** 与机器人操作、模仿学习或策略泛化相关；是否进入 L2/L3 取决于与双臂普通夹爪平台的可迁移性。</x:v>
      </x:c>
      <x:c r="AS5" t="str">
        <x:v>Project-stated CCF seventh-edition mapping; official row pending where noted</x:v>
      </x:c>
      <x:c r="AT5" t="str">
        <x:v>Diffusion / Flow / IL / RL</x:v>
      </x:c>
      <x:c r="AU5" t="n">
        <x:v>0</x:v>
      </x:c>
      <x:c r="AV5" t="str">
        <x:v>OpenAlex</x:v>
      </x:c>
      <x:c r="AW5" t="str">
        <x:v>2026-09-25</x:v>
      </x:c>
      <x:c r="AX5" t="str">
        <x:v>长任务的高层指令与短时动作之间容易出现不一致。</x:v>
      </x:c>
      <x:c r="AY5" t="str">
        <x:v>Unknown / Needs Full-Paper Verification</x:v>
      </x:c>
      <x:c r="AZ5" t="str">
        <x:v>以 `Robot Manipulation; Diffusion Policy / Primitive Skills` 为主要方法/能力线索；更细的结构和消融结论待正文核验。</x:v>
      </x:c>
      <x:c r="BA5" t="str">
        <x:v>两项仿真 benchmark 与真机操作评测。</x:v>
      </x:c>
      <x:c r="BB5" t="str">
        <x:v>Unknown / Needs Full-Paper Verification</x:v>
      </x:c>
      <x:c r="BC5" t="str">
        <x:v>- 官方题名与元数据已确认；具体表述待补读官方摘要或正文。</x:v>
      </x:c>
      <x:c r="BD5" t="str">
        <x:v>Real Robot 字段为 `Mixed`；Dataset、Benchmark、Robot Platform 中的 Unknown 继续保留，不从题名推断。</x:v>
      </x:c>
      <x:c r="BE5" t="str">
        <x:v>AAAI 摘要报告在两项仿真 benchmark 和真机任务中优于所比较方法；未给统一量化值。</x:v>
      </x:c>
      <x:c r="BF5" t="str">
        <x:v>Unknown / Needs Full-Paper Verification</x:v>
      </x:c>
      <x:c r="BG5" t="str">
        <x:v>Library Analysis / Research Note: Unknown / Needs Full-Paper Verification</x:v>
      </x:c>
      <x:c r="BH5" t="str">
        <x:v>Robot Manipulation; Diffusion Policy / Primitive Skills</x:v>
      </x:c>
      <x:c r="BI5" t="str">
        <x:v>B</x:v>
      </x:c>
      <x:c r="BJ5"/>
      <x:c r="BK5" t="str">
        <x:v>Unknown / Not Explicitly Reported in the currently accessible sources.</x:v>
      </x:c>
      <x:c r="BL5" t="str">
        <x:v>Unknown / Not Explicitly Reported in the currently accessible sources.</x:v>
      </x:c>
      <x:c r="BM5" t="str">
        <x:v>https://openalex.org/W7138268695</x:v>
      </x:c>
      <x:c r="BN5" t="str">
        <x:v>https://ojs.aaai.org/index.php/AAAI/article/view/38889；官方摘要/论文集元数据</x:v>
      </x:c>
      <x:c r="BO5" t="str">
        <x:v>B-Fulltext-Unavailable</x:v>
      </x:c>
      <x:c r="BP5" t="str">
        <x:v>Not Found</x:v>
      </x:c>
      <x:c r="BQ5" t="str">
        <x:v>Unknown</x:v>
      </x:c>
      <x:c r="BR5" t="str">
        <x:v>Unknown</x:v>
      </x:c>
      <x:c r="BS5" t="str">
        <x:v>https://ojs.aaai.org/index.php/AAAI/article/download/38889/42851</x:v>
      </x:c>
      <x:c r="BT5" t="str">
        <x:v>No</x:v>
      </x:c>
      <x:c r="BU5" t="str">
        <x:v>No</x:v>
      </x:c>
      <x:c r="BV5" t="str">
        <x:v>No</x:v>
      </x:c>
      <x:c r="BW5" t="str">
        <x:v>No</x:v>
      </x:c>
      <x:c r="BX5" t="str">
        <x:v>No</x:v>
      </x:c>
      <x:c r="BY5" t="str">
        <x:v>No</x:v>
      </x:c>
      <x:c r="BZ5" t="str">
        <x:v>No</x:v>
      </x:c>
      <x:c r="CA5" t="str">
        <x:v>Matched</x:v>
      </x:c>
      <x:c r="CB5" t="str">
        <x:v>Not Found After Verification</x:v>
      </x:c>
      <x:c r="CC5" t="str">
        <x:v>Not Found After Verification</x:v>
      </x:c>
      <x:c r="CD5" t="str">
        <x:v>Audit logged - deep extraction pending</x:v>
      </x:c>
      <x:c r="CE5" t="str">
        <x:v>false</x:v>
      </x:c>
      <x:c r="CF5"/>
      <x:c r="CG5" t="str">
        <x:v>研究问题：长任务的高层指令与短时动作之间容易出现不一致。；之前方法的问题：只用全局指令条件化扩散策略，难以保证每段动作符合当前小技能。；核心思路：SDP 把复杂任务拆成八种 primitive skills，用 VLM 提取离散状态表示，再由轻量 router 选择技能条件化扩散策略。；输入：官方摘要给出任务/数据类型；具体模型张量与接口需核对方法章节。；输出与动作：官方摘要未明确列出完整控制接口；需核对论文方法或代码。；数据集与评测基准：两项仿真 benchmark 与真机操作评测。；主要结果：AAAI 摘要报告在两项仿真 benchmark 和真机任务中优于所比较方法；未给统一量化值。；为什么重要：可作为“高层技能调度 + 低层动作生成”的双臂基线。；与当前项目的关系：Medium：方法可借鉴，但迁移到当前双臂硬件需验证。；主要局限：本段基于官方摘要；未覆盖全文失败案例、完整 Baseline 与方法消融。</x:v>
      </x:c>
      <x:c r="CH5" t="str">
        <x:v>只用全局指令条件化扩散策略，难以保证每段动作符合当前小技能。</x:v>
      </x:c>
      <x:c r="CI5" t="str">
        <x:v>SDP 把复杂任务拆成八种 primitive skills，用 VLM 提取离散状态表示，再由轻量 router 选择技能条件化扩散策略。</x:v>
      </x:c>
      <x:c r="CJ5"/>
      <x:c r="CK5" t="str">
        <x:v>AAAI 摘要报告在两项仿真 benchmark 和真机任务中优于所比较方法；未给统一量化值。</x:v>
      </x:c>
      <x:c r="CL5" t="str">
        <x:v>可作为“高层技能调度 + 低层动作生成”的双臂基线。</x:v>
      </x:c>
      <x:c r="CM5" t="str">
        <x:v>本段基于官方摘要；未覆盖全文失败案例、完整 Baseline 与方法消融。</x:v>
      </x:c>
      <x:c r="CN5"/>
      <x:c r="CO5" t="str">
        <x:v>Medium：方法可借鉴，但迁移到当前双臂硬件需验证。</x:v>
      </x:c>
      <x:c r="CP5" t="str">
        <x:v>官方摘要/论文页：https://ojs.aaai.org/index.php/AAAI/article/view/38889；核验于 2026-09-23。仅为摘要级速读，原 Evidence Quality 不变。 - 核验层级：摘要有可追溯来源</x:v>
      </x:c>
      <x:c r="CQ5" t="str">
        <x:v>title</x:v>
      </x:c>
      <x:c r="CR5" t="n">
        <x:v>0</x:v>
      </x:c>
      <x:c r="CS5" t="n">
        <x:v>0</x:v>
      </x:c>
    </x:row>
    <x:row r="6" ht="58" customHeight="1">
      <x:c r="A6" t="str">
        <x:v>A005</x:v>
      </x:c>
      <x:c r="B6" t="str">
        <x:v>FoAM: Foresight-Augmented Multi-Task Imitation Policy for Robotic Manipulation</x:v>
      </x:c>
      <x:c r="C6" t="str">
        <x:v>Unknown — not extracted in this pass</x:v>
      </x:c>
      <x:c r="D6" t="n">
        <x:v>2026</x:v>
      </x:c>
      <x:c r="E6" t="str">
        <x:v>AAAI</x:v>
      </x:c>
      <x:c r="F6" t="str">
        <x:v>A</x:v>
      </x:c>
      <x:c r="G6" t="str">
        <x:v>Official Conference Paper</x:v>
      </x:c>
      <x:c r="H6" t="str">
        <x:v>Method Paper</x:v>
      </x:c>
      <x:c r="I6" t="str">
        <x:v>A (CCF 7th edition; venue category not independently extracted from official PDF)</x:v>
      </x:c>
      <x:c r="J6" t="str">
        <x:v>Robot Manipulation / IL / Diffusion</x:v>
      </x:c>
      <x:c r="K6" t="str">
        <x:v>Imitation Learning; Multi-Task / Foresight</x:v>
      </x:c>
      <x:c r="L6" t="e">
        <x:f>HYPERLINK("https://ojs.aaai.org/index.php/AAAI/article/view/38911","论文")</x:f>
        <x:v>HYPERLINK is not implemented. linkLocation=https://ojs.aaai.org/index.php/AAAI/article/view/38911, friendlyName=论文</x:v>
      </x:c>
      <x:c r="M6" t="str">
        <x:v>Unknown</x:v>
      </x:c>
      <x:c r="N6"/>
      <x:c r="O6"/>
      <x:c r="P6"/>
      <x:c r="Q6" t="str">
        <x:v>Unknown</x:v>
      </x:c>
      <x:c r="R6" t="str">
        <x:v>Unknown</x:v>
      </x:c>
      <x:c r="S6"/>
      <x:c r="T6" t="str">
        <x:v>Unknown</x:v>
      </x:c>
      <x:c r="U6" t="str">
        <x:v>Unknown</x:v>
      </x:c>
      <x:c r="V6" t="str">
        <x:v>Parallel Gripper</x:v>
      </x:c>
      <x:c r="W6" t="str">
        <x:v>Unknown</x:v>
      </x:c>
      <x:c r="X6" t="str">
        <x:v>Parallel Gripper</x:v>
      </x:c>
      <x:c r="Y6" t="str">
        <x:v>Mixed</x:v>
      </x:c>
      <x:c r="Z6" t="str">
        <x:v>Unknown</x:v>
      </x:c>
      <x:c r="AA6" t="str">
        <x:v>Unknown</x:v>
      </x:c>
      <x:c r="AB6" t="str">
        <x:v>Unknown</x:v>
      </x:c>
      <x:c r="AC6" t="str">
        <x:v>P1</x:v>
      </x:c>
      <x:c r="AD6" t="str">
        <x:v>Official proceedings verified; CCF A via user-provided CCF 7th-edition venue mapping</x:v>
      </x:c>
      <x:c r="AE6" t="str">
        <x:v>2026-09-19</x:v>
      </x:c>
      <x:c r="AF6" t="str">
        <x:v>Abstract reports 100+ tasks in simulation and real-world; simulation suite released.</x:v>
      </x:c>
      <x:c r="AG6" t="str">
        <x:v>CCF A Conference</x:v>
      </x:c>
      <x:c r="AH6" t="str">
        <x:v>Official Conference Paper</x:v>
      </x:c>
      <x:c r="AI6" t="str">
        <x:v>No</x:v>
      </x:c>
      <x:c r="AJ6" t="str">
        <x:v>02_Papers/06_Diffusion_Flow_IL_RL/FoAM.md</x:v>
      </x:c>
      <x:c r="AK6" t="str">
        <x:v>Strict CCF A</x:v>
      </x:c>
      <x:c r="AL6" t="str">
        <x:v>https://ojs.aaai.org/index.php/AAAI/article/view/38911; official abstract/proceedings metadata</x:v>
      </x:c>
      <x:c r="AM6" t="str">
        <x:v>Abstract-level</x:v>
      </x:c>
      <x:c r="AN6" t="str">
        <x:v>Robot Manipulation / IL / Diffusion</x:v>
      </x:c>
      <x:c r="AO6" t="str">
        <x:v>Pending official abstract/full-text verification.</x:v>
      </x:c>
      <x:c r="AP6" t="str">
        <x:v>Imitation Learning; Multi-Task / Foresight</x:v>
      </x:c>
      <x:c r="AQ6" t="str">
        <x:v>Real Robot=Mixed; Dataset/Benchmark/Robot Platform retain Unknown when not verified.</x:v>
      </x:c>
      <x:c r="AR6" t="str">
        <x:v>** 与机器人操作、模仿学习或策略泛化相关；是否进入 L2/L3 取决于与双臂普通夹爪平台的可迁移性。</x:v>
      </x:c>
      <x:c r="AS6" t="str">
        <x:v>Project-stated CCF seventh-edition mapping; official row pending where noted</x:v>
      </x:c>
      <x:c r="AT6" t="str">
        <x:v>Diffusion / Flow / IL / RL</x:v>
      </x:c>
      <x:c r="AU6" t="n">
        <x:v>0</x:v>
      </x:c>
      <x:c r="AV6" t="str">
        <x:v>OpenAlex</x:v>
      </x:c>
      <x:c r="AW6" t="str">
        <x:v>2026-09-25</x:v>
      </x:c>
      <x:c r="AX6" t="str">
        <x:v>多任务模仿学习策略需要可靠动作，也需要用少量示范适应未见任务。</x:v>
      </x:c>
      <x:c r="AY6" t="str">
        <x:v>Unknown / Needs Full-Paper Verification</x:v>
      </x:c>
      <x:c r="AZ6" t="str">
        <x:v>以 `Imitation Learning; Multi-Task / Foresight` 为主要方法/能力线索；更细的结构和消融结论待正文核验。</x:v>
      </x:c>
      <x:c r="BA6" t="str">
        <x:v>超过 100 项仿真/真机任务；官方发布的仿真任务套件。</x:v>
      </x:c>
      <x:c r="BB6" t="str">
        <x:v>Unknown / Needs Full-Paper Verification</x:v>
      </x:c>
      <x:c r="BC6" t="str">
        <x:v>- 官方题名与元数据已确认；具体表述待补读官方摘要或正文。</x:v>
      </x:c>
      <x:c r="BD6" t="str">
        <x:v>Real Robot 字段为 `Mixed`；Dataset、Benchmark、Robot Platform 中的 Unknown 继续保留，不从题名推断。</x:v>
      </x:c>
      <x:c r="BE6" t="str">
        <x:v>AAAI 摘要报告仿真与真机超过 100 项任务，成功率相对基线最高提升 41%；另发布 80 多项仿真任务。</x:v>
      </x:c>
      <x:c r="BF6" t="str">
        <x:v>Unknown / Needs Full-Paper Verification</x:v>
      </x:c>
      <x:c r="BG6" t="str">
        <x:v>Library Analysis / Research Note: Unknown / Needs Full-Paper Verification</x:v>
      </x:c>
      <x:c r="BH6" t="str">
        <x:v>Imitation Learning; Multi-Task / Foresight</x:v>
      </x:c>
      <x:c r="BI6" t="str">
        <x:v>B</x:v>
      </x:c>
      <x:c r="BJ6"/>
      <x:c r="BK6" t="str">
        <x:v>Unknown / Not Explicitly Reported in the currently accessible sources.</x:v>
      </x:c>
      <x:c r="BL6" t="str">
        <x:v>Unknown / Not Explicitly Reported in the currently accessible sources.</x:v>
      </x:c>
      <x:c r="BM6" t="str">
        <x:v>https://openalex.org/W7138377383</x:v>
      </x:c>
      <x:c r="BN6" t="str">
        <x:v>https://ojs.aaai.org/index.php/AAAI/article/view/38911；官方摘要/论文集元数据</x:v>
      </x:c>
      <x:c r="BO6" t="str">
        <x:v>B-Fulltext-Unavailable</x:v>
      </x:c>
      <x:c r="BP6" t="str">
        <x:v>Not Found</x:v>
      </x:c>
      <x:c r="BQ6" t="str">
        <x:v>Unknown</x:v>
      </x:c>
      <x:c r="BR6" t="str">
        <x:v>Unknown</x:v>
      </x:c>
      <x:c r="BS6" t="str">
        <x:v>https://ojs.aaai.org/index.php/AAAI/article/download/38911/42873</x:v>
      </x:c>
      <x:c r="BT6" t="str">
        <x:v>No</x:v>
      </x:c>
      <x:c r="BU6" t="str">
        <x:v>No</x:v>
      </x:c>
      <x:c r="BV6" t="str">
        <x:v>No</x:v>
      </x:c>
      <x:c r="BW6" t="str">
        <x:v>No</x:v>
      </x:c>
      <x:c r="BX6" t="str">
        <x:v>No</x:v>
      </x:c>
      <x:c r="BY6" t="str">
        <x:v>No</x:v>
      </x:c>
      <x:c r="BZ6" t="str">
        <x:v>No</x:v>
      </x:c>
      <x:c r="CA6" t="str">
        <x:v>Matched</x:v>
      </x:c>
      <x:c r="CB6" t="str">
        <x:v>Not Found After Verification</x:v>
      </x:c>
      <x:c r="CC6" t="str">
        <x:v>Not Found After Verification</x:v>
      </x:c>
      <x:c r="CD6" t="str">
        <x:v>Audit logged - deep extraction pending</x:v>
      </x:c>
      <x:c r="CE6" t="str">
        <x:v>false</x:v>
      </x:c>
      <x:c r="CF6"/>
      <x:c r="CG6" t="str">
        <x:v>研究问题：多任务模仿学习策略需要可靠动作，也需要用少量示范适应未见任务。；之前方法的问题：只根据当前状态重建动作，可能缺少对动作视觉后果的预测。；核心思路：FoAM 输入多模态目标，在动作重建之外加入 foresight augmentation，让策略利用预期视觉结果。；输入：官方摘要给出任务/数据类型；具体模型张量与接口需核对方法章节。；输出与动作：官方摘要未明确列出完整控制接口；需核对论文方法或代码。；数据集与评测基准：超过 100 项仿真/真机任务；官方发布的仿真任务套件。；主要结果：AAAI 摘要报告仿真与真机超过 100 项任务，成功率相对基线最高提升 41%；另发布 80 多项仿真任务。；为什么重要：可比较“预见动作后果”是否帮助双臂动作前验证。；与当前项目的关系：Medium：方法可借鉴，但迁移到当前双臂硬件需验证。；主要局限：本段基于官方摘要；未覆盖全文失败案例、完整 Baseline 与方法消融。</x:v>
      </x:c>
      <x:c r="CH6" t="str">
        <x:v>只根据当前状态重建动作，可能缺少对动作视觉后果的预测。</x:v>
      </x:c>
      <x:c r="CI6" t="str">
        <x:v>FoAM 输入多模态目标，在动作重建之外加入 foresight augmentation，让策略利用预期视觉结果。</x:v>
      </x:c>
      <x:c r="CJ6"/>
      <x:c r="CK6" t="str">
        <x:v>AAAI 摘要报告仿真与真机超过 100 项任务，成功率相对基线最高提升 41%；另发布 80 多项仿真任务。</x:v>
      </x:c>
      <x:c r="CL6" t="str">
        <x:v>可比较“预见动作后果”是否帮助双臂动作前验证。</x:v>
      </x:c>
      <x:c r="CM6" t="str">
        <x:v>本段基于官方摘要；未覆盖全文失败案例、完整 Baseline 与方法消融。</x:v>
      </x:c>
      <x:c r="CN6"/>
      <x:c r="CO6" t="str">
        <x:v>Medium：方法可借鉴，但迁移到当前双臂硬件需验证。</x:v>
      </x:c>
      <x:c r="CP6" t="str">
        <x:v>官方摘要/论文页：https://ojs.aaai.org/index.php/AAAI/article/view/38911；核验于 2026-09-23。仅为摘要级速读，原 Evidence Quality 不变。 - 核验层级：摘要有可追溯来源</x:v>
      </x:c>
      <x:c r="CQ6" t="str">
        <x:v>final-pdf-author</x:v>
      </x:c>
      <x:c r="CR6" t="n">
        <x:v>0</x:v>
      </x:c>
      <x:c r="CS6" t="n">
        <x:v>1</x:v>
      </x:c>
    </x:row>
    <x:row r="7" ht="58" customHeight="1">
      <x:c r="A7" t="str">
        <x:v>A006</x:v>
      </x:c>
      <x:c r="B7" t="str">
        <x:v>Gentle Manipulation Policy Learning via Demonstrations from VLM Planned Atomic Skills</x:v>
      </x:c>
      <x:c r="C7" t="str">
        <x:v>Unknown — not extracted in this pass</x:v>
      </x:c>
      <x:c r="D7" t="n">
        <x:v>2026</x:v>
      </x:c>
      <x:c r="E7" t="str">
        <x:v>AAAI</x:v>
      </x:c>
      <x:c r="F7" t="str">
        <x:v>A</x:v>
      </x:c>
      <x:c r="G7" t="str">
        <x:v>Official Conference Paper</x:v>
      </x:c>
      <x:c r="H7" t="str">
        <x:v>Method Paper</x:v>
      </x:c>
      <x:c r="I7" t="str">
        <x:v>A (CCF 7th edition; venue category not independently extracted from official PDF)</x:v>
      </x:c>
      <x:c r="J7" t="str">
        <x:v>Robot Manipulation / IL / Diffusion</x:v>
      </x:c>
      <x:c r="K7" t="str">
        <x:v>Robot Manipulation; Long-Horizon / Visual-Tactile Policy</x:v>
      </x:c>
      <x:c r="L7" t="e">
        <x:f>HYPERLINK("https://ojs.aaai.org/index.php/AAAI/article/view/38955","论文")</x:f>
        <x:v>HYPERLINK is not implemented. linkLocation=https://ojs.aaai.org/index.php/AAAI/article/view/38955, friendlyName=论文</x:v>
      </x:c>
      <x:c r="M7" t="str">
        <x:v>Unknown</x:v>
      </x:c>
      <x:c r="N7"/>
      <x:c r="O7"/>
      <x:c r="P7"/>
      <x:c r="Q7" t="str">
        <x:v>Unknown</x:v>
      </x:c>
      <x:c r="R7" t="str">
        <x:v>Unknown</x:v>
      </x:c>
      <x:c r="S7"/>
      <x:c r="T7" t="str">
        <x:v>Unknown</x:v>
      </x:c>
      <x:c r="U7" t="str">
        <x:v>Unknown</x:v>
      </x:c>
      <x:c r="V7" t="str">
        <x:v>Parallel Gripper</x:v>
      </x:c>
      <x:c r="W7" t="str">
        <x:v>Unknown</x:v>
      </x:c>
      <x:c r="X7" t="str">
        <x:v>Parallel Gripper</x:v>
      </x:c>
      <x:c r="Y7" t="str">
        <x:v>Mixed</x:v>
      </x:c>
      <x:c r="Z7" t="str">
        <x:v>Unknown</x:v>
      </x:c>
      <x:c r="AA7" t="str">
        <x:v>Unknown</x:v>
      </x:c>
      <x:c r="AB7" t="str">
        <x:v>Unknown</x:v>
      </x:c>
      <x:c r="AC7" t="str">
        <x:v>P2</x:v>
      </x:c>
      <x:c r="AD7" t="str">
        <x:v>Official proceedings verified; CCF A via user-provided CCF 7th-edition venue mapping</x:v>
      </x:c>
      <x:c r="AE7" t="str">
        <x:v>2026-09-19</x:v>
      </x:c>
      <x:c r="AF7" t="str">
        <x:v>Abstract reports simulation learning and physical deployment.</x:v>
      </x:c>
      <x:c r="AG7" t="str">
        <x:v>CCF A Conference</x:v>
      </x:c>
      <x:c r="AH7" t="str">
        <x:v>Official Conference Paper</x:v>
      </x:c>
      <x:c r="AI7" t="str">
        <x:v>No</x:v>
      </x:c>
      <x:c r="AJ7" t="str">
        <x:v>02_Papers/07_Generalization_LongHorizon/Gentle_Manipulation_Policy_Learning_via_Demonstrations_from_VLM_Planned_Atomic_Skills.md</x:v>
      </x:c>
      <x:c r="AK7" t="str">
        <x:v>Strict CCF A</x:v>
      </x:c>
      <x:c r="AL7" t="str">
        <x:v>https://ojs.aaai.org/index.php/AAAI/article/view/38955; official abstract/proceedings metadata</x:v>
      </x:c>
      <x:c r="AM7" t="str">
        <x:v>Abstract-level</x:v>
      </x:c>
      <x:c r="AN7" t="str">
        <x:v>Robot Manipulation / IL / Diffusion</x:v>
      </x:c>
      <x:c r="AO7" t="str">
        <x:v>Pending official abstract/full-text verification.</x:v>
      </x:c>
      <x:c r="AP7" t="str">
        <x:v>Robot Manipulation; Long-Horizon / Visual-Tactile Policy</x:v>
      </x:c>
      <x:c r="AQ7" t="str">
        <x:v>Real Robot=Mixed; Dataset/Benchmark/Robot Platform retain Unknown when not verified.</x:v>
      </x:c>
      <x:c r="AR7" t="str">
        <x:v>** 与机器人操作、模仿学习或策略泛化相关；是否进入 L2/L3 取决于与双臂普通夹爪平台的可迁移性。</x:v>
      </x:c>
      <x:c r="AS7" t="str">
        <x:v>Project-stated CCF seventh-edition mapping; official row pending where noted</x:v>
      </x:c>
      <x:c r="AT7" t="str">
        <x:v>Generalization / Long-Horizon</x:v>
      </x:c>
      <x:c r="AU7" t="n">
        <x:v>0</x:v>
      </x:c>
      <x:c r="AV7" t="str">
        <x:v>OpenAlex</x:v>
      </x:c>
      <x:c r="AW7" t="str">
        <x:v>2026-09-25</x:v>
      </x:c>
      <x:c r="AX7" t="str">
        <x:v>长时序接触操作既要完成任务，也要避免过大接触力损伤物体。</x:v>
      </x:c>
      <x:c r="AY7" t="str">
        <x:v>Unknown / Needs Full-Paper Verification</x:v>
      </x:c>
      <x:c r="AZ7" t="str">
        <x:v>以 `Robot Manipulation; Long-Hori</x:v>
      </x:c>
      <x:c r="BA7" t="str">
        <x:v>仿真与实体机器人接触操作任务。</x:v>
      </x:c>
      <x:c r="BB7" t="str">
        <x:v>Unknown / Needs Full-Paper Verification</x:v>
      </x:c>
      <x:c r="BC7" t="str">
        <x:v>- 官方题名与元数据已确认；具体表述待补读官方摘要或正文。</x:v>
      </x:c>
      <x:c r="BD7" t="str">
        <x:v>Real Robot 字段为 `Mixed`；Dataset、Benchmark、Robot Platform 中的 Unknown 继续保留，不从题名推断。</x:v>
      </x:c>
      <x:c r="BE7" t="str">
        <x:v>AAAI 官方摘要报告仿真与实体机器人验证，并进行了规划器和蒸馏方法消融；未给统一数值。</x:v>
      </x:c>
      <x:c r="BF7" t="str">
        <x:v>Unknown / Needs Full-Paper Verification</x:v>
      </x:c>
      <x:c r="BG7" t="str">
        <x:v>Library Analysis / Research Note: Unknown / Needs Full-Paper Verification</x:v>
      </x:c>
      <x:c r="BH7" t="str">
        <x:v>Robot Manipulation; Long-Horizon / Visual-Tactile Policy</x:v>
      </x:c>
      <x:c r="BI7" t="str">
        <x:v>B</x:v>
      </x:c>
      <x:c r="BJ7"/>
      <x:c r="BK7" t="str">
        <x:v>Unknown / Not Explicitly Reported in the currently accessible sources.</x:v>
      </x:c>
      <x:c r="BL7" t="str">
        <x:v>Unknown / Not Explicitly Reported in the currently accessible sources.</x:v>
      </x:c>
      <x:c r="BM7" t="str">
        <x:v>https://openalex.org/W7138167694</x:v>
      </x:c>
      <x:c r="BN7" t="str">
        <x:v>https://ojs.aaai.org/index.php/AAAI/article/view/38955；官方摘要/论文集元数据</x:v>
      </x:c>
      <x:c r="BO7" t="str">
        <x:v>B-Fulltext-Unavailable</x:v>
      </x:c>
      <x:c r="BP7" t="str">
        <x:v>Not Found</x:v>
      </x:c>
      <x:c r="BQ7" t="str">
        <x:v>Unknown</x:v>
      </x:c>
      <x:c r="BR7" t="str">
        <x:v>Unknown</x:v>
      </x:c>
      <x:c r="BS7" t="str">
        <x:v>https://ojs.aaai.org/index.php/AAAI/article/download/38955/42917</x:v>
      </x:c>
      <x:c r="BT7" t="str">
        <x:v>No</x:v>
      </x:c>
      <x:c r="BU7" t="str">
        <x:v>No</x:v>
      </x:c>
      <x:c r="BV7" t="str">
        <x:v>No</x:v>
      </x:c>
      <x:c r="BW7" t="str">
        <x:v>No</x:v>
      </x:c>
      <x:c r="BX7" t="str">
        <x:v>No</x:v>
      </x:c>
      <x:c r="BY7" t="str">
        <x:v>No</x:v>
      </x:c>
      <x:c r="BZ7" t="str">
        <x:v>No</x:v>
      </x:c>
      <x:c r="CA7" t="str">
        <x:v>Matched</x:v>
      </x:c>
      <x:c r="CB7" t="str">
        <x:v>Not Found After Verification</x:v>
      </x:c>
      <x:c r="CC7" t="str">
        <x:v>Not Found After Verification</x:v>
      </x:c>
      <x:c r="CD7" t="str">
        <x:v>Audit logged - deep extraction pending</x:v>
      </x:c>
      <x:c r="CE7" t="str">
        <x:v>false</x:v>
      </x:c>
      <x:c r="CF7"/>
      <x:c r="CG7" t="str">
        <x:v>研究问题：长时序接触操作既要完成任务，也要避免过大接触力损伤物体。；之前方法的问题：真机专家示范昂贵，分层技能和安全约束难以同时获得。；核心思路：在仿真中用带力约束的 RL 训练原子技能，再由 VLM 规划任务，最后蒸馏到视觉—触觉 Diffusion Policy。；输入：官方摘要给出任务/数据类型；具体模型张量与接口需核对方法章节。；输出与动作：官方摘要未明确列出完整控制接口；需核对论文方法或代码。；数据集与评测基准：仿真与实体机器人接触操作任务。；主要结果：AAAI 官方摘要报告仿真与实体机器人验证，并进行了规划器和蒸馏方法消融；未给统一数值。；为什么重要：为普通夹爪的接触安全和低成本技能数据生成提供参考。；与当前项目的关系：Medium：方法可借鉴，但迁移到当前双臂硬件需验证。；主要局限：本段基于官方摘要；未覆盖全文失败案例、完整 Baseline 与方法消融。</x:v>
      </x:c>
      <x:c r="CH7" t="str">
        <x:v>真机专家示范昂贵，分层技能和安全约束难以同时获得。</x:v>
      </x:c>
      <x:c r="CI7" t="str">
        <x:v>在仿真中用带力约束的 RL 训练原子技能，再由 VLM 规划任务，最后蒸馏到视觉—触觉 Diffusion Policy。</x:v>
      </x:c>
      <x:c r="CJ7"/>
      <x:c r="CK7" t="str">
        <x:v>AAAI 官方摘要报告仿真与实体机器人验证，并进行了规划器和蒸馏方法消融；未给统一数值。</x:v>
      </x:c>
      <x:c r="CL7" t="str">
        <x:v>为普通夹爪的接触安全和低成本技能数据生成提供参考。</x:v>
      </x:c>
      <x:c r="CM7" t="str">
        <x:v>本段基于官方摘要；未覆盖全文失败案例、完整 Baseline 与方法消融。</x:v>
      </x:c>
      <x:c r="CN7"/>
      <x:c r="CO7" t="str">
        <x:v>Medium：方法可借鉴，但迁移到当前双臂硬件需验证。</x:v>
      </x:c>
      <x:c r="CP7" t="str">
        <x:v>官方摘要/论文页：https://ojs.aaai.org/index.php/AAAI/article/view/38955；核验于 2026-09-23。仅为摘要级速读，原 Evidence Quality 不变。 - 核验层级：摘要有可追溯来源</x:v>
      </x:c>
      <x:c r="CQ7" t="str">
        <x:v>title</x:v>
      </x:c>
      <x:c r="CR7" t="n">
        <x:v>0</x:v>
      </x:c>
      <x:c r="CS7" t="n">
        <x:v>0</x:v>
      </x:c>
    </x:row>
    <x:row r="8" ht="58" customHeight="1">
      <x:c r="A8" t="str">
        <x:v>A007</x:v>
      </x:c>
      <x:c r="B8" t="str">
        <x:v>RGMP: Recurrent Geometric-prior Multimodal Policy for Generalizable Humanoid Robot Manipulation</x:v>
      </x:c>
      <x:c r="C8" t="str">
        <x:v>Unknown — not extracted in this pass</x:v>
      </x:c>
      <x:c r="D8" t="n">
        <x:v>2026</x:v>
      </x:c>
      <x:c r="E8" t="str">
        <x:v>AAAI</x:v>
      </x:c>
      <x:c r="F8" t="str">
        <x:v>A</x:v>
      </x:c>
      <x:c r="G8" t="str">
        <x:v>Official Conference Paper</x:v>
      </x:c>
      <x:c r="H8" t="str">
        <x:v>Method Paper</x:v>
      </x:c>
      <x:c r="I8" t="str">
        <x:v>A (CCF 7th edition; venue category not independently extracted from official PDF)</x:v>
      </x:c>
      <x:c r="J8" t="str">
        <x:v>Robot Manipulation / IL / Diffusion</x:v>
      </x:c>
      <x:c r="K8" t="str">
        <x:v>Robot Manipulation; Humanoid / Generalization</x:v>
      </x:c>
      <x:c r="L8" t="e">
        <x:f>HYPERLINK("https://ojs.aaai.org/index.php/AAAI/article/view/38539","论文")</x:f>
        <x:v>HYPERLINK is not implemented. linkLocation=https://ojs.aaai.org/index.php/AAAI/article/view/38539, friendlyName=论文</x:v>
      </x:c>
      <x:c r="M8" t="str">
        <x:v>Unknown</x:v>
      </x:c>
      <x:c r="N8"/>
      <x:c r="O8"/>
      <x:c r="P8"/>
      <x:c r="Q8" t="str">
        <x:v>Unknown</x:v>
      </x:c>
      <x:c r="R8" t="str">
        <x:v>Unknown</x:v>
      </x:c>
      <x:c r="S8"/>
      <x:c r="T8" t="str">
        <x:v>Unknown</x:v>
      </x:c>
      <x:c r="U8" t="str">
        <x:v>Unknown</x:v>
      </x:c>
      <x:c r="V8" t="str">
        <x:v>Humanoid Manipulation</x:v>
      </x:c>
      <x:c r="W8" t="str">
        <x:v>Unknown</x:v>
      </x:c>
      <x:c r="X8" t="str">
        <x:v>Unknown</x:v>
      </x:c>
      <x:c r="Y8" t="str">
        <x:v>Yes</x:v>
      </x:c>
      <x:c r="Z8" t="str">
        <x:v>Unknown</x:v>
      </x:c>
      <x:c r="AA8" t="str">
        <x:v>Unknown</x:v>
      </x:c>
      <x:c r="AB8" t="str">
        <x:v>Unknown</x:v>
      </x:c>
      <x:c r="AC8" t="str">
        <x:v>P2</x:v>
      </x:c>
      <x:c r="AD8" t="str">
        <x:v>Official proceedings verified; CCF A via user-provided CCF 7th-edition venue mapping</x:v>
      </x:c>
      <x:c r="AE8" t="str">
        <x:v>2026-09-19</x:v>
      </x:c>
      <x:c r="AF8" t="str">
        <x:v>Abstract reports humanoid and tabletop robot experiments.</x:v>
      </x:c>
      <x:c r="AG8" t="str">
        <x:v>CCF A Conference</x:v>
      </x:c>
      <x:c r="AH8" t="str">
        <x:v>Official Conference Paper</x:v>
      </x:c>
      <x:c r="AI8" t="str">
        <x:v>No</x:v>
      </x:c>
      <x:c r="AJ8" t="str">
        <x:v>02_Papers/07_Generalization_LongHorizon/RGMP.md</x:v>
      </x:c>
      <x:c r="AK8" t="str">
        <x:v>Strict CCF A</x:v>
      </x:c>
      <x:c r="AL8" t="str">
        <x:v>https://ojs.aaai.org/index.php/AAAI/article/view/38539; official abstract/proceedings metadata</x:v>
      </x:c>
      <x:c r="AM8" t="str">
        <x:v>Abstract-level</x:v>
      </x:c>
      <x:c r="AN8" t="str">
        <x:v>Robot Manipulation / IL / Diffusion</x:v>
      </x:c>
      <x:c r="AO8" t="str">
        <x:v>Pending official abstract/full-text verification.</x:v>
      </x:c>
      <x:c r="AP8" t="str">
        <x:v>Robot Manipulation; Humanoid / Generalization</x:v>
      </x:c>
      <x:c r="AQ8" t="str">
        <x:v>Real Robot=Yes; Dataset/Benchmark/Robot Platform retain Unknown when not verified.</x:v>
      </x:c>
      <x:c r="AR8" t="str">
        <x:v>** 与机器人操作、模仿学习或策略泛化相关；是否进入 L2/L3 取决于与双臂普通夹爪平台的可迁移性。</x:v>
      </x:c>
      <x:c r="AS8" t="str">
        <x:v>Project-stated CCF seventh-edition mapping; official row pending where noted</x:v>
      </x:c>
      <x:c r="AT8" t="str">
        <x:v>Generalization / Long-Horizon</x:v>
      </x:c>
      <x:c r="AU8" t="n">
        <x:v>0</x:v>
      </x:c>
      <x:c r="AV8" t="str">
        <x:v>OpenAlex</x:v>
      </x:c>
      <x:c r="AW8" t="str">
        <x:v>2026-09-25</x:v>
      </x:c>
      <x:c r="AX8" t="str">
        <x:v>通用人形机器人操作常依赖大量示范，未见场景中的几何推理仍薄弱。</x:v>
      </x:c>
      <x:c r="AY8" t="str">
        <x:v>Unknown / Needs Full-Paper Verification</x:v>
      </x:c>
      <x:c r="AZ8" t="str">
        <x:v>以 `Robot Manipulation; Humanoid / Generali</x:v>
      </x:c>
      <x:c r="BA8" t="str">
        <x:v>人形机器人与桌面机器人操作评测。</x:v>
      </x:c>
      <x:c r="BB8" t="str">
        <x:v>Unknown / Needs Full-Paper Verification</x:v>
      </x:c>
      <x:c r="BC8" t="str">
        <x:v>- 官方题名与元数据已确认；具体表述待补读官方摘要或正文。</x:v>
      </x:c>
      <x:c r="BD8" t="str">
        <x:v>Real Robot 字段为 `Yes`；Dataset、Benchmark、Robot Platform 中的 Unknown 继续保留，不从题名推断。</x:v>
      </x:c>
      <x:c r="BE8" t="str">
        <x:v>AAAI 官方摘要报告泛化测试成功率 87%，数据效率约为所比较 SOTA 的 5 倍。</x:v>
      </x:c>
      <x:c r="BF8" t="str">
        <x:v>Unknown / Needs Full-Paper Verification</x:v>
      </x:c>
      <x:c r="BG8" t="str">
        <x:v>Library Analysis / Research Note: Unknown / Needs Full-Paper Verification</x:v>
      </x:c>
      <x:c r="BH8" t="str">
        <x:v>Robot Manipulation; Humanoid / Generalization</x:v>
      </x:c>
      <x:c r="BI8" t="str">
        <x:v>B</x:v>
      </x:c>
      <x:c r="BJ8"/>
      <x:c r="BK8" t="str">
        <x:v>Unknown / Not Explicitly Reported in the currently accessible sources.</x:v>
      </x:c>
      <x:c r="BL8" t="str">
        <x:v>Unknown / Not Explicitly Reported in the currently accessible sources.</x:v>
      </x:c>
      <x:c r="BM8" t="str">
        <x:v>https://openalex.org/W4416716605</x:v>
      </x:c>
      <x:c r="BN8" t="str">
        <x:v>https://ojs.aaai.org/index.php/AAAI/article/view/38539；官方摘要/论文集元数据</x:v>
      </x:c>
      <x:c r="BO8" t="str">
        <x:v>B-Fulltext-Unavailable</x:v>
      </x:c>
      <x:c r="BP8" t="str">
        <x:v>Not Found</x:v>
      </x:c>
      <x:c r="BQ8" t="str">
        <x:v>Unknown</x:v>
      </x:c>
      <x:c r="BR8" t="str">
        <x:v>Unknown</x:v>
      </x:c>
      <x:c r="BS8" t="str">
        <x:v>https://ojs.aaai.org/index.php/AAAI/article/download/38539/42501</x:v>
      </x:c>
      <x:c r="BT8" t="str">
        <x:v>No</x:v>
      </x:c>
      <x:c r="BU8" t="str">
        <x:v>No</x:v>
      </x:c>
      <x:c r="BV8" t="str">
        <x:v>No</x:v>
      </x:c>
      <x:c r="BW8" t="str">
        <x:v>No</x:v>
      </x:c>
      <x:c r="BX8" t="str">
        <x:v>No</x:v>
      </x:c>
      <x:c r="BY8" t="str">
        <x:v>No</x:v>
      </x:c>
      <x:c r="BZ8" t="str">
        <x:v>No</x:v>
      </x:c>
      <x:c r="CA8" t="str">
        <x:v>Matched</x:v>
      </x:c>
      <x:c r="CB8" t="str">
        <x:v>Not Found After Verification</x:v>
      </x:c>
      <x:c r="CC8" t="str">
        <x:v>Not Found After Verification</x:v>
      </x:c>
      <x:c r="CD8" t="str">
        <x:v>Audit logged - deep extraction pending</x:v>
      </x:c>
      <x:c r="CE8" t="str">
        <x:v>false</x:v>
      </x:c>
      <x:c r="CF8"/>
      <x:c r="CG8" t="str">
        <x:v>研究问题：通用人形机器人操作常依赖大量示范，未见场景中的几何推理仍薄弱。；之前方法的问题：单纯数据驱动策略难以高效建模机器人与目标之间的空间关系。；核心思路：RGMP 用带几何先验的技能选择器推理子任务，再用递归 Gaussian 网络生成动作。；输入：官方摘要给出任务/数据类型；具体模型张量与接口需核对方法章节。；输出与动作：官方摘要未明确列出完整控制接口；需核对论文方法或代码。；数据集与评测基准：人形机器人与桌面机器人操作评测。；主要结果：AAAI 官方摘要报告泛化测试成功率 87%，数据效率约为所比较 SOTA 的 5 倍。；为什么重要：可启发双臂任务的几何关系表示，但硬件差异需要单独验证。；与当前项目的关系：Medium：方法可借鉴，但迁移到当前双臂硬件需验证。；主要局限：本段基于官方摘要；未覆盖全文失败案例、完整 Baseline 与方法消融。</x:v>
      </x:c>
      <x:c r="CH8" t="str">
        <x:v>单纯数据驱动策略难以高效建模机器人与目标之间的空间关系。</x:v>
      </x:c>
      <x:c r="CI8" t="str">
        <x:v>RGMP 用带几何先验的技能选择器推理子任务，再用递归 Gaussian 网络生成动作。</x:v>
      </x:c>
      <x:c r="CJ8"/>
      <x:c r="CK8" t="str">
        <x:v>AAAI 官方摘要报告泛化测试成功率 87%，数据效率约为所比较 SOTA 的 5 倍。</x:v>
      </x:c>
      <x:c r="CL8" t="str">
        <x:v>可启发双臂任务的几何关系表示，但硬件差异需要单独验证。</x:v>
      </x:c>
      <x:c r="CM8" t="str">
        <x:v>本段基于官方摘要；未覆盖全文失败案例、完整 Baseline 与方法消融。</x:v>
      </x:c>
      <x:c r="CN8"/>
      <x:c r="CO8" t="str">
        <x:v>Medium：方法可借鉴，但迁移到当前双臂硬件需验证。</x:v>
      </x:c>
      <x:c r="CP8" t="str">
        <x:v>官方摘要/论文页：https://ojs.aaai.org/index.php/AAAI/article/view/38539；核验于 2026-09-23。仅为摘要级速读，原 Evidence Quality 不变。 - 核验层级：摘要有可追溯来源</x:v>
      </x:c>
      <x:c r="CQ8" t="str">
        <x:v>final-title</x:v>
      </x:c>
      <x:c r="CR8" t="n">
        <x:v>0</x:v>
      </x:c>
      <x:c r="CS8" t="n">
        <x:v>0</x:v>
      </x:c>
    </x:row>
    <x:row r="9" ht="58" customHeight="1">
      <x:c r="A9" t="str">
        <x:v>A008</x:v>
      </x:c>
      <x:c r="B9" t="str">
        <x:v>Learning Object-Centric Motion Priors from Human for Robotic Dexterous Manipulation</x:v>
      </x:c>
      <x:c r="C9" t="str">
        <x:v>Unknown — not extracted in this pass</x:v>
      </x:c>
      <x:c r="D9" t="n">
        <x:v>2026</x:v>
      </x:c>
      <x:c r="E9" t="str">
        <x:v>AAAI</x:v>
      </x:c>
      <x:c r="F9" t="str">
        <x:v>A</x:v>
      </x:c>
      <x:c r="G9" t="str">
        <x:v>Official Conference Paper</x:v>
      </x:c>
      <x:c r="H9" t="str">
        <x:v>Method Paper</x:v>
      </x:c>
      <x:c r="I9" t="str">
        <x:v>A (CCF 7th edition; venue category not independently extracted from official PDF)</x:v>
      </x:c>
      <x:c r="J9" t="str">
        <x:v>Dexterous Hand / Dexterous Manipulation</x:v>
      </x:c>
      <x:c r="K9" t="str">
        <x:v>Dexterous Manipulation; Human Demonstrations / Motion Prior</x:v>
      </x:c>
      <x:c r="L9" t="e">
        <x:f>HYPERLINK("https://ojs.aaai.org/index.php/AAAI/article/download/38892/42854","论文")</x:f>
        <x:v>HYPERLINK is not implemented. linkLocation=https://ojs.aaai.org/index.php/AAAI/article/download/38892/42854, friendlyName=论文</x:v>
      </x:c>
      <x:c r="M9" t="str">
        <x:v>Unknown</x:v>
      </x:c>
      <x:c r="N9"/>
      <x:c r="O9"/>
      <x:c r="P9"/>
      <x:c r="Q9" t="str">
        <x:v>Unknown</x:v>
      </x:c>
      <x:c r="R9" t="str">
        <x:v>Unknown</x:v>
      </x:c>
      <x:c r="S9"/>
      <x:c r="T9" t="str">
        <x:v>Unknown</x:v>
      </x:c>
      <x:c r="U9" t="str">
        <x:v>Unknown</x:v>
      </x:c>
      <x:c r="V9" t="str">
        <x:v>Dexterous Hand</x:v>
      </x:c>
      <x:c r="W9" t="str">
        <x:v>Unknown</x:v>
      </x:c>
      <x:c r="X9" t="str">
        <x:v>Dexterous Hand</x:v>
      </x:c>
      <x:c r="Y9" t="str">
        <x:v>Unknown</x:v>
      </x:c>
      <x:c r="Z9" t="str">
        <x:v>Unknown</x:v>
      </x:c>
      <x:c r="AA9" t="str">
        <x:v>Unknown</x:v>
      </x:c>
      <x:c r="AB9" t="str">
        <x:v>Unknown</x:v>
      </x:c>
      <x:c r="AC9" t="str">
        <x:v>P2</x:v>
      </x:c>
      <x:c r="AD9" t="str">
        <x:v>Official proceedings verified; CCF A via user-provided CCF 7th-edition venue mapping</x:v>
      </x:c>
      <x:c r="AE9" t="str">
        <x:v>2026-09-19</x:v>
      </x:c>
      <x:c r="AF9"/>
      <x:c r="AG9" t="str">
        <x:v>CCF A Conference</x:v>
      </x:c>
      <x:c r="AH9" t="str">
        <x:v>Official Conference Paper</x:v>
      </x:c>
      <x:c r="AI9" t="str">
        <x:v>No</x:v>
      </x:c>
      <x:c r="AJ9" t="str">
        <x:v>02_Papers/04_Dexterous/Learning_Object-Centric_Motion_Priors_from_Human_for_Robotic_Dexterous_Manipulation.md</x:v>
      </x:c>
      <x:c r="AK9" t="str">
        <x:v>Strict CCF A</x:v>
      </x:c>
      <x:c r="AL9" t="str">
        <x:v>https://ojs.aaai.org/index.php/AAAI/article/download/38892/42854; official abstract/proceedings metadata</x:v>
      </x:c>
      <x:c r="AM9" t="str">
        <x:v>Abstract-level</x:v>
      </x:c>
      <x:c r="AN9" t="str">
        <x:v>Dexterous Hand / Dexterous Manipulation</x:v>
      </x:c>
      <x:c r="AO9" t="str">
        <x:v>Pending official abstract/full-text verification.</x:v>
      </x:c>
      <x:c r="AP9" t="str">
        <x:v>Dexterous Manipulation; Human Demonstrations / Motion Prior</x:v>
      </x:c>
      <x:c r="AQ9" t="str">
        <x:v>Real Robot=Unknown; Dataset/Benchmark/Robot Platform retain Unknown when not verified.</x:v>
      </x:c>
      <x:c r="AR9" t="str">
        <x:v>** 对灵巧操作扩展有参考价值；当前普通夹爪主线需区分可迁移的学习方法与依赖多指硬件的部分。</x:v>
      </x:c>
      <x:c r="AS9" t="str">
        <x:v>Project-stated CCF seventh-edition mapping; official row pending where noted</x:v>
      </x:c>
      <x:c r="AT9" t="str">
        <x:v>Dexterous</x:v>
      </x:c>
      <x:c r="AU9" t="n">
        <x:v>0</x:v>
      </x:c>
      <x:c r="AV9" t="str">
        <x:v>Crossref</x:v>
      </x:c>
      <x:c r="AW9" t="str">
        <x:v>2026-09-25</x:v>
      </x:c>
      <x:c r="AX9" t="str">
        <x:v>多指灵巧手操作不同物体时，任务奖励设计和跨手型泛化都很难。</x:v>
      </x:c>
      <x:c r="AY9" t="str">
        <x:v>Unknown / Needs Full-Paper Verification</x:v>
      </x:c>
      <x:c r="AZ9" t="str">
        <x:v>以 `Dexterous Manipulation; Human Demonstrations / Motion Prior` 为主要方法/能力线索；更细的结构和消融结论待正文核验。</x:v>
      </x:c>
      <x:c r="BA9" t="str">
        <x:v>三类灵巧操作任务；具体数据集见官方论文。</x:v>
      </x:c>
      <x:c r="BB9" t="str">
        <x:v>Unknown / Needs Full-Paper Verification</x:v>
      </x:c>
      <x:c r="BC9" t="str">
        <x:v>- 官方题名与元数据已确认；具体表述待补读官方摘要或正文。</x:v>
      </x:c>
      <x:c r="BD9" t="str">
        <x:v>Real Robot 字段为 `Unknown`；Dataset、Benchmark、Robot Platform 中的 Unknown 继续保留，不从题名推断。</x:v>
      </x:c>
      <x:c r="BE9" t="str">
        <x:v>官方 AAAI 摘要报告三类仿真与真机任务上的成功率和新物体泛化优于对比方法，并展示跨机械手部署；摘要未给统一数值。</x:v>
      </x:c>
      <x:c r="BF9" t="str">
        <x:v>Unknown / Needs Full-Paper Verification</x:v>
      </x:c>
      <x:c r="BG9" t="str">
        <x:v>Library Analysis / Research Note: Unknown / Needs Full-Paper Verification</x:v>
      </x:c>
      <x:c r="BH9" t="str">
        <x:v>Dexterous Manipulation; Human Demonstrations / Motion Prior</x:v>
      </x:c>
      <x:c r="BI9" t="str">
        <x:v>B</x:v>
      </x:c>
      <x:c r="BJ9"/>
      <x:c r="BK9" t="str">
        <x:v>Unknown / Not Explicitly Reported in the currently accessible sources.</x:v>
      </x:c>
      <x:c r="BL9" t="str">
        <x:v>Unknown / Not Explicitly Reported in the currently accessible sources.</x:v>
      </x:c>
      <x:c r="BM9" t="str">
        <x:v>https://api.crossref.org/works/10.1609/aaai.v40i22.38892</x:v>
      </x:c>
      <x:c r="BN9" t="str">
        <x:v>https://ojs.aaai.org/index.php/AAAI/article/download/38892/42854；官方摘要/论文集元数据</x:v>
      </x:c>
      <x:c r="BO9" t="str">
        <x:v>B-Fulltext-Unavailable</x:v>
      </x:c>
      <x:c r="BP9" t="str">
        <x:v>Not Found</x:v>
      </x:c>
      <x:c r="BQ9" t="str">
        <x:v>Unknown</x:v>
      </x:c>
      <x:c r="BR9" t="str">
        <x:v>Unknown</x:v>
      </x:c>
      <x:c r="BS9" t="str">
        <x:v>https://ojs.aaai.org/index.php/AAAI/article/download/38892/42854</x:v>
      </x:c>
      <x:c r="BT9" t="str">
        <x:v>No</x:v>
      </x:c>
      <x:c r="BU9" t="str">
        <x:v>No</x:v>
      </x:c>
      <x:c r="BV9" t="str">
        <x:v>No</x:v>
      </x:c>
      <x:c r="BW9" t="str">
        <x:v>No</x:v>
      </x:c>
      <x:c r="BX9" t="str">
        <x:v>No</x:v>
      </x:c>
      <x:c r="BY9" t="str">
        <x:v>No</x:v>
      </x:c>
      <x:c r="BZ9" t="str">
        <x:v>No</x:v>
      </x:c>
      <x:c r="CA9" t="str">
        <x:v>Matched</x:v>
      </x:c>
      <x:c r="CB9" t="str">
        <x:v>Not Found After Verification</x:v>
      </x:c>
      <x:c r="CC9" t="str">
        <x:v>Not Found After Verification</x:v>
      </x:c>
      <x:c r="CD9" t="str">
        <x:v>Audit logged - deep extraction pending</x:v>
      </x:c>
      <x:c r="CE9" t="str">
        <x:v>false</x:v>
      </x:c>
      <x:c r="CF9"/>
      <x:c r="CG9" t="str">
        <x:v>研究问题：多指灵巧手操作不同物体时，任务奖励设计和跨手型泛化都很难。；之前方法的问题：只模仿人手轨迹，难以把物体未来状态变成通用训练目标。；核心思路：从人—物交互数据学习物体运动先验，预测未来物体状态，再把它用于强化学习奖励。；输入：官方摘要给出任务/数据类型；具体模型张量与接口需核对方法章节。；输出与动作：官方摘要未明确列出完整控制接口；需核对论文方法或代码。；数据集与评测基准：三类灵巧操作任务；具体数据集见官方论文。；主要结果：官方 AAAI 摘要报告三类仿真与真机任务上的成功率和新物体泛化优于对比方法，并展示跨机械手部署；摘要未给统一数值。；为什么重要：提出“预测物体状态作为奖励”的路线，可与普通夹爪任务中的目标状态验证比较。；与当前项目的关系：Medium：方法可借鉴，但迁移到当前双臂硬件需验证。；主要局限：本段基于官方摘要；未覆盖全文失败案例、完整 Baseline 与方法消融。</x:v>
      </x:c>
      <x:c r="CH9" t="str">
        <x:v>只模仿人手轨迹，难以把物体未来状态变成通用训练目标。</x:v>
      </x:c>
      <x:c r="CI9" t="str">
        <x:v>从人—物交互数据学习物体运动先验，预测未来物体状态，再把它用于强化学习奖励。</x:v>
      </x:c>
      <x:c r="CJ9"/>
      <x:c r="CK9" t="str">
        <x:v>官方 AAAI 摘要报告三类仿真与真机任务上的成功率和新物体泛化优于对比方法，并展示跨机械手部署；摘要未给统一数值。</x:v>
      </x:c>
      <x:c r="CL9" t="str">
        <x:v>提出“预测物体状态作为奖励”的路线，可与普通夹爪任务中的目标状态验证比较。</x:v>
      </x:c>
      <x:c r="CM9" t="str">
        <x:v>本段基于官方摘要；未覆盖全文失败案例、完整 Baseline 与方法消融。</x:v>
      </x:c>
      <x:c r="CN9"/>
      <x:c r="CO9" t="str">
        <x:v>Medium：方法可借鉴，但迁移到当前双臂硬件需验证。</x:v>
      </x:c>
      <x:c r="CP9" t="str">
        <x:v>官方摘要/论文页：https://ojs.aaai.org/index.php/AAAI/article/view/38892；核验于 2026-09-23。仅为摘要级速读，原 Evidence Quality 不变。 - 核验层级：摘要有可追溯来源</x:v>
      </x:c>
      <x:c r="CQ9" t="str">
        <x:v>crossref-exact-title-pdf-authors</x:v>
      </x:c>
      <x:c r="CR9" t="n">
        <x:v>0</x:v>
      </x:c>
      <x:c r="CS9" t="n">
        <x:v>0</x:v>
      </x:c>
    </x:row>
    <x:row r="10" ht="58" customHeight="1">
      <x:c r="A10" t="str">
        <x:v>A009</x:v>
      </x:c>
      <x:c r="B10" t="str">
        <x:v>RoboTwin: Dual-Arm Robot Benchmark with Generative Digital Twins</x:v>
      </x:c>
      <x:c r="C10" t="str">
        <x:v>Mu, Yao; Chen, Tianxing; Chen, Zanxin; Peng, Shijia; Lan, Zhiqian; Gao, Zeyu; Liang, Zhixuan; Yu, Qiaojun; Zou, Yude; Xu, Mingkun; Lin, Lunkai; Xie, Zhiqiang; Ding, Mingyu; Luo, Ping</x:v>
      </x:c>
      <x:c r="D10" t="n">
        <x:v>2025</x:v>
      </x:c>
      <x:c r="E10" t="str">
        <x:v>CVPR</x:v>
      </x:c>
      <x:c r="F10" t="str">
        <x:v>A</x:v>
      </x:c>
      <x:c r="G10" t="str">
        <x:v>Official Conference Paper</x:v>
      </x:c>
      <x:c r="H10" t="str">
        <x:v>Dataset / Benchmark</x:v>
      </x:c>
      <x:c r="I10" t="str">
        <x:v>A (CCF 7th edition; venue category not independently extracted from official PDF)</x:v>
      </x:c>
      <x:c r="J10" t="str">
        <x:v>Bimanual; Dataset / Benchmark</x:v>
      </x:c>
      <x:c r="K10" t="str">
        <x:v>Bimanual; Benchmark / Synthetic Demonstrations</x:v>
      </x:c>
      <x:c r="L10" t="e">
        <x:f>HYPERLINK("https://openaccess.thecvf.com/content/CVPR2025/html/Mu_RoboTwin_Dual-Arm_Robot_Benchmark_with_Generative_Digital_Twins_CVPR_2025_paper.html","论文")</x:f>
        <x:v>HYPERLINK is not implemented. linkLocation=https://openaccess.thecvf.com/content/CVPR2025/html/Mu_RoboTwin_Dual-Arm_Robot_Benchmark_with_Generative_Digital_Twins_CVPR_2025_paper.html, friendlyName=论文</x:v>
      </x:c>
      <x:c r="M10" t="str">
        <x:v>Unknown</x:v>
      </x:c>
      <x:c r="N10"/>
      <x:c r="O10" t="e">
        <x:f>HYPERLINK("https://robotwin-platform.github.io/","Project")</x:f>
        <x:v>HYPERLINK is not implemented. linkLocation=https://robotwin-platform.github.io/, friendlyName=Project</x:v>
      </x:c>
      <x:c r="P10" t="e">
        <x:f>HYPERLINK("https://github.com/RoboTwin-Platform/RoboTwin/tree/RoboTwin-1.0","GitHub")</x:f>
        <x:v>HYPERLINK is not implemented. linkLocation=https://github.com/RoboTwin-Platform/RoboTwin/tree/RoboTwin-1.0, friendlyName=GitHub</x:v>
      </x:c>
      <x:c r="Q10" t="str">
        <x:v>Released</x:v>
      </x:c>
      <x:c r="R10" t="str">
        <x:v>Unknown</x:v>
      </x:c>
      <x:c r="S10"/>
      <x:c r="T10" t="str">
        <x:v>作者提供资源下载与示范采集脚本；本轮未下载或核验数据完整性</x:v>
      </x:c>
      <x:c r="U10" t="str">
        <x:v>Unknown</x:v>
      </x:c>
      <x:c r="V10" t="str">
        <x:v>Bimanual / Parallel Gripper</x:v>
      </x:c>
      <x:c r="W10" t="str">
        <x:v>Bimanual</x:v>
      </x:c>
      <x:c r="X10" t="str">
        <x:v>Parallel Gripper</x:v>
      </x:c>
      <x:c r="Y10" t="str">
        <x:v>Unknown</x:v>
      </x:c>
      <x:c r="Z10" t="str">
        <x:v>作者提供资源下载与示范采集脚本；本轮未下载或核验数据完整性</x:v>
      </x:c>
      <x:c r="AA10" t="str">
        <x:v>Unknown</x:v>
      </x:c>
      <x:c r="AB10" t="str">
        <x:v>Unknown</x:v>
      </x:c>
      <x:c r="AC10" t="str">
        <x:v>P0</x:v>
      </x:c>
      <x:c r="AD10" t="str">
        <x:v>Official proceedings verified; CCF A via user-provided CCF 7th-edition venue mapping</x:v>
      </x:c>
      <x:c r="AE10" t="str">
        <x:v>2026-09-19</x:v>
      </x:c>
      <x:c r="AF10" t="str">
        <x:v>采用RoboTwin-1.0分支；已查任务环境、交接动作及评估。与早期ECCV Workshop版本、CVPR Workshop竞赛报告、2.0版本区别记录。 Static checks only; no cloning/running or download.</x:v>
      </x:c>
      <x:c r="AG10" t="str">
        <x:v>CCF A Conference</x:v>
      </x:c>
      <x:c r="AH10" t="str">
        <x:v>Official Conference Paper</x:v>
      </x:c>
      <x:c r="AI10" t="str">
        <x:v>No</x:v>
      </x:c>
      <x:c r="AJ10" t="str">
        <x:v>02_Papers/10_Benchmark_Dataset/RoboTwin.md</x:v>
      </x:c>
      <x:c r="AK10" t="str">
        <x:v>Strict CCF A</x:v>
      </x:c>
      <x:c r="AL10" t="str">
        <x:v>https://openaccess.thecvf.com/content/CVPR2025/html/Mu_RoboTwin_Dual-Arm_Robot_Benchmark_with_Generative_Digital_Twins_CVPR_2025_paper.html; official abstract/proceedings metadata</x:v>
      </x:c>
      <x:c r="AM10" t="str">
        <x:v>Abstract-level</x:v>
      </x:c>
      <x:c r="AN10" t="str">
        <x:v>Bimanual; Dataset / Benchmark</x:v>
      </x:c>
      <x:c r="AO10" t="str">
        <x:v>See canonical card Research Summary; generated only from official abstract-level evidence.</x:v>
      </x:c>
      <x:c r="AP10" t="str">
        <x:v>Bimanual; Benchmark / Synthetic Demonstrations</x:v>
      </x:c>
      <x:c r="AQ10" t="str">
        <x:v>Real Robot=Unknown; Dataset/Benchmark/Robot Platform retain Unknown when not verified.</x:v>
      </x:c>
      <x:c r="AR10" t="str">
        <x:v>** 与 NERO 双臂、普通夹爪、示范采集和双臂策略学习直接相关，优先评估动作表示与协同控制是否可迁移。</x:v>
      </x:c>
      <x:c r="AS10" t="str">
        <x:v>Project-stated CCF seventh-edition mapping; official row pending where noted</x:v>
      </x:c>
      <x:c r="AT10" t="str">
        <x:v>Benchmark / Dataset</x:v>
      </x:c>
      <x:c r="AU10" t="n">
        <x:v>28</x:v>
      </x:c>
      <x:c r="AV10" t="str">
        <x:v>Crossref</x:v>
      </x:c>
      <x:c r="AW10" t="str">
        <x:v>2026-09-25</x:v>
      </x:c>
      <x:c r="AX10" t="str">
        <x:v>双臂协调与复杂物体操作缺少足够多样的高质量示范和贴近现实的评测环境。</x:v>
      </x:c>
      <x:c r="AY10" t="str">
        <x:v>Unknown / Needs Full-Paper Verification</x:v>
      </x:c>
      <x:c r="AZ10" t="str">
        <x:v>以 `Bimanual; Benchmark / Synthetic Demonstrations` 为主要方法/能力线索；更细的结构和消融结论待正文核验。</x:v>
      </x:c>
      <x:c r="BA10" t="str">
        <x:v>RoboTwin 含仿真与真实数据；作者提供资源下载和示范采集脚本，本轮未下载核验数据完整性。</x:v>
      </x:c>
      <x:c r="BB10" t="str">
        <x:v>Unknown / Needs Full-Paper Verification</x:v>
      </x:c>
      <x:c r="BC10" t="str">
        <x:v>- To address this, we introduce RoboTwin, a generative digital twin framework that uses 3D generative foundation models and large language models to produce diverse expert datasets and provide a real-world-aligned evaluation platform for dual-arm robotic tasks.</x:v>
      </x:c>
      <x:c r="BD10" t="str">
        <x:v>Real Robot 字段为 `Unknown`；Dataset、Benchmark、Robot Platform 中的 Unknown 继续保留，不从题名推断。</x:v>
      </x:c>
      <x:c r="BE10" t="str">
        <x:v>摘要说明其提供仿真与真实数据的统一评测；具体成功率需查实验章节。</x:v>
      </x:c>
      <x:c r="BF10" t="str">
        <x:v>Unknown / Needs Full-Paper Verification</x:v>
      </x:c>
      <x:c r="BG10" t="str">
        <x:v>Library Analysis / Research Note: Unknown / Needs Full-Paper Verification</x:v>
      </x:c>
      <x:c r="BH10" t="str">
        <x:v>Bimanual; Benchmark / Synthetic Demonstrations</x:v>
      </x:c>
      <x:c r="BI10" t="str">
        <x:v>B</x:v>
      </x:c>
      <x:c r="BJ10"/>
      <x:c r="BK10" t="str">
        <x:v>Unknown / Not Explicitly Reported in the currently accessible sources.</x:v>
      </x:c>
      <x:c r="BL10" t="str">
        <x:v>Unknown / Not Explicitly Reported in the currently accessible sources.</x:v>
      </x:c>
      <x:c r="BM10" t="str">
        <x:v>https://api.crossref.org/works/10.1109/cvpr52734.2025.02575</x:v>
      </x:c>
      <x:c r="BN10" t="str">
        <x:v>https://openaccess.thecvf.com/content/CVPR2025/html/Mu_RoboTwin_Dual-Arm_Robot_Benchmark_with_Generative_Digital_Twins_CVPR_2025_paper.html；官方摘要/论文集元数据</x:v>
      </x:c>
      <x:c r="BO10" t="str">
        <x:v>B-Fulltext-Unavailable</x:v>
      </x:c>
      <x:c r="BP10" t="str">
        <x:v>Not Found</x:v>
      </x:c>
      <x:c r="BQ10" t="str">
        <x:v>Mostly Complete</x:v>
      </x:c>
      <x:c r="BR10" t="str">
        <x:v>Unknown</x:v>
      </x:c>
      <x:c r="BS10" t="str">
        <x:v>https://openaccess.thecvf.com/content/CVPR2025/papers/Mu_RoboTwin_Dual-Arm_Robot_Benchmark_with_Generative_Digital_Twins_CVPR_2025_paper.pdf</x:v>
      </x:c>
      <x:c r="BT10" t="str">
        <x:v>No</x:v>
      </x:c>
      <x:c r="BU10" t="str">
        <x:v>No</x:v>
      </x:c>
      <x:c r="BV10" t="str">
        <x:v>No</x:v>
      </x:c>
      <x:c r="BW10" t="str">
        <x:v>No</x:v>
      </x:c>
      <x:c r="BX10" t="str">
        <x:v>No</x:v>
      </x:c>
      <x:c r="BY10" t="str">
        <x:v>No</x:v>
      </x:c>
      <x:c r="BZ10" t="str">
        <x:v>No</x:v>
      </x:c>
      <x:c r="CA10" t="str">
        <x:v>Matched</x:v>
      </x:c>
      <x:c r="CB10" t="str">
        <x:v>Not Found After Verification</x:v>
      </x:c>
      <x:c r="CC10" t="str">
        <x:v>Not Found After Verification</x:v>
      </x:c>
      <x:c r="CD10" t="str">
        <x:v>Audit logged - deep extraction pending</x:v>
      </x:c>
      <x:c r="CE10" t="str">
        <x:v>false</x:v>
      </x:c>
      <x:c r="CF10"/>
      <x:c r="CG10" t="str">
        <x:v>研究问题：双臂协调与复杂物体操作缺少足够多样的高质量示范和贴近现实的评测环境。；之前方法的问题：示范稀缺且仿真评测与真实场景存在差距。；核心思路：RoboTwin 用 3D 生成模型及大语言模型构建生成式数字孪生，生成专家数据并建立双臂评测平台。；数据集与评测基准：RoboTwin 含仿真与真实数据；作者提供资源下载和示范采集脚本，本轮未下载核验数据完整性。；主要结果：摘要说明其提供仿真与真实数据的统一评测；具体成功率需查实验章节。；为什么重要：将双臂数据生成与现实对齐评测放入同一框架。；与当前项目的关系：High：与普通夹爪双臂策略的数据和任务设计直接相关。；主要局限：生成数据的物理一致性和真实迁移效果需按论文实验进一步核验。</x:v>
      </x:c>
      <x:c r="CH10" t="str">
        <x:v>示范稀缺且仿真评测与真实场景存在差距。</x:v>
      </x:c>
      <x:c r="CI10" t="str">
        <x:v>RoboTwin 用 3D 生成模型及大语言模型构建生成式数字孪生，生成专家数据并建立双臂评测平台。</x:v>
      </x:c>
      <x:c r="CJ10"/>
      <x:c r="CK10" t="str">
        <x:v>摘要说明其提供仿真与真实数据的统一评测；具体成功率需查实验章节。</x:v>
      </x:c>
      <x:c r="CL10" t="str">
        <x:v>将双臂数据生成与现实对齐评测放入同一框架。</x:v>
      </x:c>
      <x:c r="CM10" t="str">
        <x:v>生成数据的物理一致性和真实迁移效果需按论文实验进一步核验。</x:v>
      </x:c>
      <x:c r="CN10"/>
      <x:c r="CO10" t="str">
        <x:v>High：与普通夹爪双臂策略的数据和任务设计直接相关。</x:v>
      </x:c>
      <x:c r="CP10" t="str">
        <x:v>官方摘要/论文页; https://openaccess.thecvf.com/content/CVPR2025/html/Mu_RoboTwin_Dual-Arm_Robot_Benchmark_with_Generative_Digital_Twins_CVPR_2025_paper.html; 核验于 2026-09-23. 仅为摘要级速读；原 Evidence Quality 不变。 - 核验层级：摘要有可追溯来源</x:v>
      </x:c>
      <x:c r="CQ10" t="str">
        <x:v>crossref-exact-title-pdf-authors</x:v>
      </x:c>
      <x:c r="CR10" t="n">
        <x:v>0</x:v>
      </x:c>
      <x:c r="CS10" t="n">
        <x:v>2</x:v>
      </x:c>
    </x:row>
    <x:row r="11" ht="58" customHeight="1">
      <x:c r="A11" t="str">
        <x:v>A010</x:v>
      </x:c>
      <x:c r="B11" t="str">
        <x:v>BridgeVLA: Input-Output Alignment for Efficient 3D Manipulation Learning with Vision-Language Models</x:v>
      </x:c>
      <x:c r="C11" t="str">
        <x:v>Li, Peiyan; Chen, Yixiang; Wu, Hongtao; Ma, Xiao; Wu, Xiangnan; Huang, Yan; Wang, Liang; Kong, Tao; Tan, Tieniu</x:v>
      </x:c>
      <x:c r="D11" t="n">
        <x:v>2025</x:v>
      </x:c>
      <x:c r="E11" t="str">
        <x:v>NeurIPS</x:v>
      </x:c>
      <x:c r="F11" t="str">
        <x:v>A</x:v>
      </x:c>
      <x:c r="G11" t="str">
        <x:v>Official Conference Paper</x:v>
      </x:c>
      <x:c r="H11" t="str">
        <x:v>Method Paper</x:v>
      </x:c>
      <x:c r="I11" t="str">
        <x:v>A (CCF 7th edition; venue category not independently extracted from official PDF)</x:v>
      </x:c>
      <x:c r="J11" t="str">
        <x:v>VLA / Robot Foundation Models</x:v>
      </x:c>
      <x:c r="K11" t="str">
        <x:v>VLA; 3D Manipulation / Data Efficiency</x:v>
      </x:c>
      <x:c r="L11" t="e">
        <x:f>HYPERLINK("https://proceedings.neurips.cc/paper_files/paper/2025/hash/5c1a8aa04c1a2cf5013f28831870dafa-Abstract-Conference.html","论文")</x:f>
        <x:v>HYPERLINK is not implemented. linkLocation=https://proceedings.neurips.cc/paper_files/paper/2025/hash/5c1a8aa04c1a2cf5013f28831870dafa-Abstract-Conference.html, friendlyName=论文</x:v>
      </x:c>
      <x:c r="M11" t="e">
        <x:f>HYPERLINK("https://doi.org/10.52202/085713-2137","DOI")</x:f>
        <x:v>HYPERLINK is not implemented. linkLocation=https://doi.org/10.52202/085713-2137, friendlyName=DOI</x:v>
      </x:c>
      <x:c r="N11"/>
      <x:c r="O11" t="e">
        <x:f>HYPERLINK("https://bridgevla.github.io/","Project")</x:f>
        <x:v>HYPERLINK is not implemented. linkLocation=https://bridgevla.github.io/, friendlyName=Project</x:v>
      </x:c>
      <x:c r="P11" t="e">
        <x:f>HYPERLINK("https://github.com/BridgeVLA/BridgeVLA/tree/bridgevla","GitHub")</x:f>
        <x:v>HYPERLINK is not implemented. linkLocation=https://github.com/BridgeVLA/BridgeVLA/tree/bridgevla, friendlyName=GitHub</x:v>
      </x:c>
      <x:c r="Q11" t="str">
        <x:v>Released</x:v>
      </x:c>
      <x:c r="R11" t="str">
        <x:v>Unknown</x:v>
      </x:c>
      <x:c r="S11" t="str">
        <x:v>https://huggingface.co/datasets/LPY/BridgeVLA/tree/main/checkpoints/bridgevla（作者入口/说明；未验证权重文件可下载或可用性）</x:v>
      </x:c>
      <x:c r="T11" t="str">
        <x:v>README提供预训练数据及RLBench/COLOSSEUM/GemBench说明；入口存在，未下载</x:v>
      </x:c>
      <x:c r="U11" t="str">
        <x:v>Unknown</x:v>
      </x:c>
      <x:c r="V11" t="str">
        <x:v>Single Arm / Parallel Gripper</x:v>
      </x:c>
      <x:c r="W11" t="str">
        <x:v>Single Arm</x:v>
      </x:c>
      <x:c r="X11" t="str">
        <x:v>Parallel Gripper</x:v>
      </x:c>
      <x:c r="Y11" t="str">
        <x:v>Unknown</x:v>
      </x:c>
      <x:c r="Z11" t="str">
        <x:v>README提供预训练数据及RLBench/COLOSSEUM/GemBench说明；入口存在，未下载</x:v>
      </x:c>
      <x:c r="AA11" t="str">
        <x:v>Unknown</x:v>
      </x:c>
      <x:c r="AB11" t="str">
        <x:v>Unknown</x:v>
      </x:c>
      <x:c r="AC11" t="str">
        <x:v>P0</x:v>
      </x:c>
      <x:c r="AD11" t="str">
        <x:v>Official proceedings verified; CCF A via user-provided CCF 7th-edition venue mapping</x:v>
      </x:c>
      <x:c r="AE11" t="str">
        <x:v>2026-09-19</x:v>
      </x:c>
      <x:c r="AF11" t="str">
        <x:v>原论文代码在bridgevla分支；main已是BridgeVLA++，不可混用。已查agent、训练、评估；PaliGemma基础权重需申请访问。 Static checks only; no cloning/running or download.</x:v>
      </x:c>
      <x:c r="AG11" t="str">
        <x:v>CCF A Conference</x:v>
      </x:c>
      <x:c r="AH11" t="str">
        <x:v>Official Conference Paper</x:v>
      </x:c>
      <x:c r="AI11" t="str">
        <x:v>No</x:v>
      </x:c>
      <x:c r="AJ11" t="str">
        <x:v>02_Papers/01_VLA/BridgeVLA.md</x:v>
      </x:c>
      <x:c r="AK11" t="str">
        <x:v>Strict CCF A</x:v>
      </x:c>
      <x:c r="AL11" t="str">
        <x:v>https://proceedings.neurips.cc/paper_files/paper/2025/hash/5c1a8aa04c1a2cf5013f28831870dafa-Abstract-Conference.html; official abstract/proceedings metadata</x:v>
      </x:c>
      <x:c r="AM11" t="str">
        <x:v>Abstract-level</x:v>
      </x:c>
      <x:c r="AN11" t="str">
        <x:v>VLA / Robot Foundation Models</x:v>
      </x:c>
      <x:c r="AO11" t="str">
        <x:v>See canonical card Research Summary; generated only from official abstract-level evidence.</x:v>
      </x:c>
      <x:c r="AP11" t="str">
        <x:v>VLA; 3D Manipulation / Data Efficiency</x:v>
      </x:c>
      <x:c r="AQ11" t="str">
        <x:v>Real Robot=Unknown; Dataset/Benchmark/Robot Platform retain Unknown when not verified.</x:v>
      </x:c>
      <x:c r="AR11" t="str">
        <x:v>** 可用于 VLA/机器人基础模型路线对比；应重点核对动作头、训练数据与真机部署成本是否适合当前平台。</x:v>
      </x:c>
      <x:c r="AS11" t="str">
        <x:v>Project-stated CCF seventh-edition mapping; official row pending where noted</x:v>
      </x:c>
      <x:c r="AT11" t="str">
        <x:v>VLA</x:v>
      </x:c>
      <x:c r="AU11" t="n">
        <x:v>0</x:v>
      </x:c>
      <x:c r="AV11" t="str">
        <x:v>OpenAlex</x:v>
      </x:c>
      <x:c r="AW11" t="str">
        <x:v>2026-09-25</x:v>
      </x:c>
      <x:c r="AX11" t="str">
        <x:v>许多 VLA 对三维空间信息的利用不足，影响操作动作的空间准确性与数据效率。</x:v>
      </x:c>
      <x:c r="AY11" t="str">
        <x:v>Unknown / Needs Full-Paper Verification</x:v>
      </x:c>
      <x:c r="AZ11" t="str">
        <x:v>以 `VLA; 3D Manipulation / Data Efficiency` 为主要方法/能力线索；更细的结构和消融结论待正文核验。</x:v>
      </x:c>
      <x:c r="BA11" t="str">
        <x:v>论文评估 RLBench、COLOSSEUM 与 GemBench；预训练数据和下载入口以官方仓库说明为准。</x:v>
      </x:c>
      <x:c r="BB11" t="str">
        <x:v>Unknown / Needs Full-Paper Verification</x:v>
      </x:c>
      <x:c r="BC11" t="str">
        <x:v>- In this paper, we introduce a new paradigm for constructing 3D VLAs.</x:v>
      </x:c>
      <x:c r="BD11" t="str">
        <x:v>Real Robot 字段为 `Unknown`；Dataset、Benchmark、Robot Platform 中的 Unknown 继续保留，不从题名推断。</x:v>
      </x:c>
      <x:c r="BE11" t="str">
        <x:v>Unknown / Needs Full-Paper Verification</x:v>
      </x:c>
      <x:c r="BF11" t="str">
        <x:v>Unknown / Needs Full-Paper Verification</x:v>
      </x:c>
      <x:c r="BG11" t="str">
        <x:v>Library Analysis / Research Note: Unknown / Needs Full-Paper Verification</x:v>
      </x:c>
      <x:c r="BH11" t="str">
        <x:v>VLA; 3D Manipulation / Data Efficiency</x:v>
      </x:c>
      <x:c r="BI11" t="str">
        <x:v>A</x:v>
      </x:c>
      <x:c r="BJ11"/>
      <x:c r="BK11" t="str">
        <x:v>Unknown / Not Explicitly Reported in the currently accessible sources.</x:v>
      </x:c>
      <x:c r="BL11" t="str">
        <x:v>Unknown / Not Explicitly Reported in the currently accessible sources.</x:v>
      </x:c>
      <x:c r="BM11" t="str">
        <x:v>https://openalex.org/W4415272059</x:v>
      </x:c>
      <x:c r="BN11" t="str">
        <x:v>https://proceedings.neurips.cc/paper_files/paper/2025/hash/5c1a8aa04c1a2cf5013f28831870dafa-Abstract-Conference.html；官方摘要/论文集元数据</x:v>
      </x:c>
      <x:c r="BO11" t="str">
        <x:v>A-Upgraded</x:v>
      </x:c>
      <x:c r="BP11" t="str">
        <x:v>Not Found</x:v>
      </x:c>
      <x:c r="BQ11" t="str">
        <x:v>Mostly Complete</x:v>
      </x:c>
      <x:c r="BR11" t="str">
        <x:v>Unknown</x:v>
      </x:c>
      <x:c r="BS11" t="str">
        <x:v>https://proceedings.neurips.cc/paper_files/paper/2025/file/5c1a8aa04c1a2cf5013f28831870dafa-Paper-Conference.pdf</x:v>
      </x:c>
      <x:c r="BT11" t="str">
        <x:v>No</x:v>
      </x:c>
      <x:c r="BU11" t="str">
        <x:v>No</x:v>
      </x:c>
      <x:c r="BV11" t="str">
        <x:v>No</x:v>
      </x:c>
      <x:c r="BW11" t="str">
        <x:v>No</x:v>
      </x:c>
      <x:c r="BX11" t="str">
        <x:v>No</x:v>
      </x:c>
      <x:c r="BY11" t="str">
        <x:v>No</x:v>
      </x:c>
      <x:c r="BZ11" t="str">
        <x:v>No</x:v>
      </x:c>
      <x:c r="CA11" t="str">
        <x:v>Matched</x:v>
      </x:c>
      <x:c r="CB11" t="str">
        <x:v>Not Found After Verification</x:v>
      </x:c>
      <x:c r="CC11" t="str">
        <x:v>Not Found After Verification</x:v>
      </x:c>
      <x:c r="CD11" t="str">
        <x:v>Audit logged - deep extraction pending</x:v>
      </x:c>
      <x:c r="CE11" t="str">
        <x:v>false</x:v>
      </x:c>
      <x:c r="CF11"/>
      <x:c r="CG11" t="str">
        <x:v>研究问题：许多 VLA 对三维空间信息的利用不足，影响操作动作的空间准确性与数据效率。；之前方法的问题：一些 3D VLA 尚未充分利用三维数据自带的空间结构，影响动作预测的数据效率。；核心思路：BridgeVLA 研究视觉语言模型与三维输入/输出的对齐，让空间结构参与动作预测。；数据集与评测基准：论文评估 RLBench、COLOSSEUM 与 GemBench；预训练数据和下载入口以官方仓库说明为准。；为什么重要：为 VLA 如何利用三维几何信息提供了可比较的基线。；与当前项目的关系：High：有助于研究语言条件操作与 VLA 设计。；主要局限：作者把更充分的 3D 输入/输出对齐与训练效率列为后续方向；当前结果主要验证于报告的 Franka 设置。</x:v>
      </x:c>
      <x:c r="CH11" t="str">
        <x:v>一些 3D VLA 尚未充分利用三维数据自带的空间结构，影响动作预测的数据效率。</x:v>
      </x:c>
      <x:c r="CI11" t="str">
        <x:v>BridgeVLA 研究视觉语言模型与三维输入/输出的对齐，让空间结构参与动作预测。</x:v>
      </x:c>
      <x:c r="CJ11"/>
      <x:c r="CK11" t="str">
        <x:v>卡片记录 RLBench 平均成功率 88.2% 对 81.4%，COLOSSEUM 为 64.0% 对 56.7%；其余数值与实验设定见原卡表格证据。</x:v>
      </x:c>
      <x:c r="CL11" t="str">
        <x:v>为 VLA 如何利用三维几何信息提供了可比较的基线。</x:v>
      </x:c>
      <x:c r="CM11" t="str">
        <x:v>作者把更充分的 3D 输入/输出对齐与训练效率列为后续方向；当前结果主要验证于报告的 Franka 设置。</x:v>
      </x:c>
      <x:c r="CN11"/>
      <x:c r="CO11" t="str">
        <x:v>High：有助于研究语言条件操作与 VLA 设计。</x:v>
      </x:c>
      <x:c r="CP11" t="str">
        <x:v>官方摘要/论文页; https://arxiv.org/html/2506.07961; 核验于 2026-09-23. 仅为摘要级速读；原 Evidence Quality 不变。 - 核验层级：摘要有可追溯来源</x:v>
      </x:c>
      <x:c r="CQ11" t="str">
        <x:v>doi</x:v>
      </x:c>
      <x:c r="CR11" t="n">
        <x:v>4</x:v>
      </x:c>
      <x:c r="CS11" t="n">
        <x:v>2</x:v>
      </x:c>
    </x:row>
    <x:row r="12" ht="58" customHeight="1">
      <x:c r="A12" t="str">
        <x:v>A011</x:v>
      </x:c>
      <x:c r="B12" t="str">
        <x:v>VLA-Cache: Efficient Vision-Language-Action Manipulation via Adaptive Token Caching</x:v>
      </x:c>
      <x:c r="C12" t="str">
        <x:v>Xu, Siyu; Wang, Yunke; Xia, Chenghao; Zhu, Dihao; Huang, Tao; Xu, Chang</x:v>
      </x:c>
      <x:c r="D12" t="n">
        <x:v>2025</x:v>
      </x:c>
      <x:c r="E12" t="str">
        <x:v>NeurIPS</x:v>
      </x:c>
      <x:c r="F12" t="str">
        <x:v>A</x:v>
      </x:c>
      <x:c r="G12" t="str">
        <x:v>Official Conference Paper</x:v>
      </x:c>
      <x:c r="H12" t="str">
        <x:v>Method Paper</x:v>
      </x:c>
      <x:c r="I12" t="str">
        <x:v>A (CCF 7th edition; venue category not independently extracted from official PDF)</x:v>
      </x:c>
      <x:c r="J12" t="str">
        <x:v>VLA / Robot Foundation Models</x:v>
      </x:c>
      <x:c r="K12" t="str">
        <x:v>VLA; Inference Acceleration / Token Caching</x:v>
      </x:c>
      <x:c r="L12" t="e">
        <x:f>HYPERLINK("https://proceedings.neurips.cc/paper_files/paper/2025/hash/f062da1973ac9ac61fc6d44dd7fa309f-Abstract-Conference.html","论文")</x:f>
        <x:v>HYPERLINK is not implemented. linkLocation=https://proceedings.neurips.cc/paper_files/paper/2025/hash/f062da1973ac9ac61fc6d44dd7fa309f-Abstract-Conference.html, friendlyName=论文</x:v>
      </x:c>
      <x:c r="M12" t="e">
        <x:f>HYPERLINK("https://doi.org/10.52202/085713-5484","DOI")</x:f>
        <x:v>HYPERLINK is not implemented. linkLocation=https://doi.org/10.52202/085713-5484, friendlyName=DOI</x:v>
      </x:c>
      <x:c r="N12" t="e">
        <x:f>HYPERLINK("https://arxiv.org/abs/2502.02175","arXiv")</x:f>
        <x:v>HYPERLINK is not implemented. linkLocation=https://arxiv.org/abs/2502.02175, friendlyName=arXiv</x:v>
      </x:c>
      <x:c r="O12" t="e">
        <x:f>HYPERLINK("https://vla-cache.github.io/","Project")</x:f>
        <x:v>HYPERLINK is not implemented. linkLocation=https://vla-cache.github.io/, friendlyName=Project</x:v>
      </x:c>
      <x:c r="P12" t="e">
        <x:f>HYPERLINK("https://github.com/siyuhsu/vla-cache","GitHub")</x:f>
        <x:v>HYPERLINK is not implemented. linkLocation=https://github.com/siyuhsu/vla-cache, friendlyName=GitHub</x:v>
      </x:c>
      <x:c r="Q12" t="str">
        <x:v>Released</x:v>
      </x:c>
      <x:c r="R12" t="str">
        <x:v>Unknown</x:v>
      </x:c>
      <x:c r="S12" t="str">
        <x:v>依赖OpenVLA/OpenVLA-OFT基座；README提供下载脚本（作者入口/说明；未验证权重文件可下载或可用性）</x:v>
      </x:c>
      <x:c r="T12" t="str">
        <x:v>README提供LIBERO部署评估说明；未确认自采真机数据是否全量公开</x:v>
      </x:c>
      <x:c r="U12" t="str">
        <x:v>Unknown</x:v>
      </x:c>
      <x:c r="V12" t="str">
        <x:v>Single Arm / Parallel Gripper</x:v>
      </x:c>
      <x:c r="W12" t="str">
        <x:v>Single Arm</x:v>
      </x:c>
      <x:c r="X12" t="str">
        <x:v>Parallel Gripper</x:v>
      </x:c>
      <x:c r="Y12" t="str">
        <x:v>Unknown</x:v>
      </x:c>
      <x:c r="Z12" t="str">
        <x:v>- LIBERO：沿用 OpenVLA/OpenVLA-OFT 标准设置，Spatial、Object、Goal、Long 四个任务套件，每套 10 个子任务。</x:v>
      </x:c>
      <x:c r="AA12" t="str">
        <x:v>Unknown</x:v>
      </x:c>
      <x:c r="AB12" t="str">
        <x:v>Unknown</x:v>
      </x:c>
      <x:c r="AC12" t="str">
        <x:v>P1</x:v>
      </x:c>
      <x:c r="AD12" t="str">
        <x:v>Official proceedings verified; CCF A via user-provided CCF 7th-edition venue mapping</x:v>
      </x:c>
      <x:c r="AE12" t="str">
        <x:v>2026-09-19</x:v>
      </x:c>
      <x:c r="AF12" t="str">
        <x:v>已查patch相似度、层级缓存调度及模型实现；方法免训练。训练代码主要继承基座，不能当作额外方法训练贡献。 Static checks only; no cloning/running or download.</x:v>
      </x:c>
      <x:c r="AG12" t="str">
        <x:v>CCF A Conference</x:v>
      </x:c>
      <x:c r="AH12" t="str">
        <x:v>Official Conference Paper</x:v>
      </x:c>
      <x:c r="AI12" t="str">
        <x:v>Yes</x:v>
      </x:c>
      <x:c r="AJ12" t="str">
        <x:v>02_Papers/01_VLA/VLA-Cache.md</x:v>
      </x:c>
      <x:c r="AK12" t="str">
        <x:v>Strict CCF A</x:v>
      </x:c>
      <x:c r="AL12" t="str">
        <x:v>https://proceedings.neurips.cc/paper_files/paper/2025/hash/f062da1973ac9ac61fc6d44dd7fa309f-Abstract-Conference.html; official abstract/proceedings metadata</x:v>
      </x:c>
      <x:c r="AM12" t="str">
        <x:v>已核验正文关键章节与官方补充材料</x:v>
      </x:c>
      <x:c r="AN12" t="str">
        <x:v>VLA / Robot Foundation Models</x:v>
      </x:c>
      <x:c r="AO12" t="str">
        <x:v>See canonical card Research Summary; generated only from official abstract-level evidence.</x:v>
      </x:c>
      <x:c r="AP12" t="str">
        <x:v>VLA; Inference Acceleration / Token Caching</x:v>
      </x:c>
      <x:c r="AQ12" t="str">
        <x:v>Real Robot=Unknown; Dataset/Benchmark/Robot Platform retain Unknown when not verified.</x:v>
      </x:c>
      <x:c r="AR12" t="str">
        <x:v>可作为本地 VLA 在线加速候选；需测双臂相机和腕部视角下的时延、频率与成功率。</x:v>
      </x:c>
      <x:c r="AS12" t="str">
        <x:v>Project-stated CCF seventh-edition mapping; official row pending where noted</x:v>
      </x:c>
      <x:c r="AT12" t="str">
        <x:v>VLA</x:v>
      </x:c>
      <x:c r="AU12" t="n">
        <x:v>9</x:v>
      </x:c>
      <x:c r="AV12" t="str">
        <x:v>OpenAlex</x:v>
      </x:c>
      <x:c r="AW12" t="str">
        <x:v>2026-09-25</x:v>
      </x:c>
      <x:c r="AX12" t="str">
        <x:v>VLA 对相邻帧重复视觉区域重复计算，增加闭环推理延迟。</x:v>
      </x:c>
      <x:c r="AY12" t="str">
        <x:v>单帧 token pruning 可能移除外观静态但对动作关键的区域。</x:v>
      </x:c>
      <x:c r="AZ12" t="str">
        <x:v>跨帧复用静态视觉 token 的 KV 表示；attention 排除任务相关区域，并按层 entropy 自适应复用比例。</x:v>
      </x:c>
      <x:c r="BA12" t="str">
        <x:v>LIBERO 四套任务、SIMPLER 两种设置；Kinova Jaco2 四项真机任务，每任务 150–200 条 10 Hz 遥操作轨迹。</x:v>
      </x:c>
      <x:c r="BB12" t="str">
        <x:v>LIBERO：OpenVLA、SparseVLM、FastV、OpenVLA-OFT；SIMPLER：CogACT；真机：OpenVLA。</x:v>
      </x:c>
      <x:c r="BC12" t="str">
        <x:v>提出免训练的跨帧视觉 token KV 缓存、任务相关区域过滤与层级自适应复用。</x:v>
      </x:c>
      <x:c r="BD12" t="str">
        <x:v>在 LIBERO、SIMPLER 与 Kinova Jaco2 真机上测试；基座含 OpenVLA、OpenVLA-OFT、CogACT。</x:v>
      </x:c>
      <x:c r="BE12" t="str">
        <x:v>LIBERO 上 OpenVLA 延迟从 51.91 ms 降至 31.83 ms，平均成功率从 75.0% 变为 74.7%；真机平均成功率为 82.1%→84.6%。</x:v>
      </x:c>
      <x:c r="BF12" t="str">
        <x:v>动态区域增多时缓存收益降低；主要测试 LLaMA2 decoder，对其他 backbone 的适用性待验证。</x:v>
      </x:c>
      <x:c r="BG12" t="str">
        <x:v>双臂动态视角、不同 VLA backbone 与缓存错误归因仍待验证。</x:v>
      </x:c>
      <x:c r="BH12" t="str">
        <x:v>VLA; Inference Acceleration / Token Caching</x:v>
      </x:c>
      <x:c r="BI12" t="str">
        <x:v>A</x:v>
      </x:c>
      <x:c r="BJ12" t="str">
        <x:v>对双臂交叉、目标遮挡或动作不确定时触发局部/全量重编码，测试效率和成功率折衷。</x:v>
      </x:c>
      <x:c r="BK12" t="str">
        <x:v>静态 token 直接复用使 SR 84.4→74.2%；attention 过滤恢复至82.6%，layer-adaptive达83.8%（Table 1）。</x:v>
      </x:c>
      <x:c r="BL12" t="str">
        <x:v>背景动态使基线 PickPot SR 95→80%；VLA-Cache 在动态条件保持80%且降低FLOPs/延迟；PickPot 真机SR 95→90%（Table 5,7）。</x:v>
      </x:c>
      <x:c r="BM12" t="str">
        <x:v>https://openalex.org/W7196930033</x:v>
      </x:c>
      <x:c r="BN12" t="str">
        <x:v>NeurIPS 正式论文页；arXiv PDF §1–6、Appendix A–F、Tables 1–5、7–11；NeurIPS Supplemental zip 与作者 GitHub。</x:v>
      </x:c>
      <x:c r="BO12" t="str">
        <x:v>A-Upgraded</x:v>
      </x:c>
      <x:c r="BP12" t="str">
        <x:v>NeurIPS 官方补充包及 arXiv 附录已检查。</x:v>
      </x:c>
      <x:c r="BQ12" t="str">
        <x:v>Partial</x:v>
      </x:c>
      <x:c r="BR12" t="str">
        <x:v>Unknown</x:v>
      </x:c>
      <x:c r="BS12" t="e">
        <x:f>HYPERLINK("https://arxiv.org/pdf/2502.02175","论文")</x:f>
        <x:v>HYPERLINK is not implemented. linkLocation=https://arxiv.org/pdf/2502.02175, friendlyName=论文</x:v>
      </x:c>
      <x:c r="BT12" t="str">
        <x:v>Yes</x:v>
      </x:c>
      <x:c r="BU12" t="str">
        <x:v>Yes</x:v>
      </x:c>
      <x:c r="BV12" t="str">
        <x:v>Yes</x:v>
      </x:c>
      <x:c r="BW12" t="str">
        <x:v>Yes</x:v>
      </x:c>
      <x:c r="BX12" t="str">
        <x:v>Yes</x:v>
      </x:c>
      <x:c r="BY12" t="str">
        <x:v>Yes</x:v>
      </x:c>
      <x:c r="BZ12" t="str">
        <x:v>Yes</x:v>
      </x:c>
      <x:c r="CA12" t="str">
        <x:v>Matched</x:v>
      </x:c>
      <x:c r="CB12" t="str">
        <x:v>Verified official NeurIPS DOI</x:v>
      </x:c>
      <x:c r="CC12" t="str">
        <x:v>Not Found After Verification</x:v>
      </x:c>
      <x:c r="CD12" t="str">
        <x:v>Completed-A</x:v>
      </x:c>
      <x:c r="CE12" t="str">
        <x:v>true</x:v>
      </x:c>
      <x:c r="CF12" t="str">
        <x:v>Completed-A</x:v>
      </x:c>
      <x:c r="CG12" t="str">
        <x:v>研究问题：VLA 在闭环操作过程中连续接收相邻视觉帧，而画面中大量背景和静态区域变化很小。现有模型每个时刻重新计算视觉 token，造成推理开销并限制实时控制频率。；之前方法的问题：通用 token pruning / merging 方法通常在单帧内删减或合并 token；若不考虑视觉区域对当前任务的重要性，可能删掉外观变化很小、但对夹爪或目标物判断至关重要的区域。作者在 LIBERO Spatial 上展示，仅依据静态视觉相似度进行缓存会显著降低成功率。；核心思路：VLA-Cache 是免训练的推理加速方法：识别相邻帧间稳定的视觉 token，跨帧复用其 Key-Value（KV）表示；再利用 decoder attention 排除任务相关区域，并根据各层 attention entropy 自适应调整缓存比例。；输入：- 当前与上一时刻的 RGB 视觉观测，用于计算图像 patch 相似度。；输出与动作：保持原 VLA 基座动作输出；VLA-Cache 只改变推理中的视觉 token 计算与 KV 复用。；数据集与评测基准：LIBERO、SIMPLER，以及 Kinova Jaco2 四项真机操作任务。；主要结果：LIBERO 上 OpenVLA 延迟从 51.91 ms 降至 31.83 ms，平均成功率从 75.0% 变为 74.7%；真机平均成功率为 82.1%→84.6%。；与当前项目的关系：当前项目可将 VLA-Cache 作为已训练 VLA 的在线推理优化候选，重点测试双臂相机画面、腕部视角变化和机械臂运动导致的动态视觉区域，记录延迟、控制频率和任务成功率。原论文没有双臂实验，部署收益需在本项目的机器人和控制接口上重新验证。</x:v>
      </x:c>
      <x:c r="CH12" t="str">
        <x:v>简单缓存可能损害变化场景中的目标识别或动作精度。</x:v>
      </x:c>
      <x:c r="CI12" t="str">
        <x:v>VLA-Cache 无需重新训练，按状态自适应缓存并复用部分推理结果。</x:v>
      </x:c>
      <x:c r="CJ12"/>
      <x:c r="CK12" t="str">
        <x:v>作者报告最高约 1.7 倍推理加速；具体成功率影响需按任务核对。</x:v>
      </x:c>
      <x:c r="CL12" t="str">
        <x:v>提供部署已有 VLA 时降低延迟的方法。</x:v>
      </x:c>
      <x:c r="CM12" t="str">
        <x:v>场景突变或接触后状态变化时，缓存复用可能延迟纠错。</x:v>
      </x:c>
      <x:c r="CN12"/>
      <x:c r="CO12" t="str">
        <x:v>High：双臂实时控制需要低延迟，但必须监测缓存失效。</x:v>
      </x:c>
      <x:c r="CP12" t="str">
        <x:v>官方摘要/论文页; https://arxiv.org/html/2502.02175; 核验于 2026-09-23. 仅为摘要级速读；原 Evidence Quality 不变。 - 核验层级：摘要有可追溯来源</x:v>
      </x:c>
      <x:c r="CQ12" t="str">
        <x:v>doi</x:v>
      </x:c>
      <x:c r="CR12" t="str">
        <x:v>3</x:v>
      </x:c>
      <x:c r="CS12" t="str">
        <x:v>1</x:v>
      </x:c>
    </x:row>
    <x:row r="13" ht="58" customHeight="1">
      <x:c r="A13" t="str">
        <x:v>A012</x:v>
      </x:c>
      <x:c r="B13" t="str">
        <x:v>DiffusionVLA: Scaling Robot Foundation Models via Unified Diffusion and Autoregression</x:v>
      </x:c>
      <x:c r="C13" t="str">
        <x:v>Junjie Wen; Yichen Zhu; Minjie Zhu; Zhibin Tang; Jinming Li; Zhongyi Zhou; Xiaoyu Liu; Chaomin Shen; Yaxin Peng; Feifei Feng</x:v>
      </x:c>
      <x:c r="D13" t="n">
        <x:v>2025</x:v>
      </x:c>
      <x:c r="E13" t="str">
        <x:v>ICML</x:v>
      </x:c>
      <x:c r="F13" t="str">
        <x:v>A</x:v>
      </x:c>
      <x:c r="G13" t="str">
        <x:v>Official Conference Paper</x:v>
      </x:c>
      <x:c r="H13" t="str">
        <x:v>Method Paper</x:v>
      </x:c>
      <x:c r="I13" t="str">
        <x:v>A (CCF 7th edition; venue category not independently extracted from official PDF)</x:v>
      </x:c>
      <x:c r="J13" t="str">
        <x:v>VLA / Robot Foundation Models</x:v>
      </x:c>
      <x:c r="K13" t="str">
        <x:v>VLA; Autoregressive Reasoning / Diffusion</x:v>
      </x:c>
      <x:c r="L13" t="e">
        <x:f>HYPERLINK("https://proceedings.mlr.press/v267/wen25g.html","论文")</x:f>
        <x:v>HYPERLINK is not implemented. linkLocation=https://proceedings.mlr.press/v267/wen25g.html, friendlyName=论文</x:v>
      </x:c>
      <x:c r="M13" t="str">
        <x:v>Unknown</x:v>
      </x:c>
      <x:c r="N13"/>
      <x:c r="O13" t="e">
        <x:f>HYPERLINK("https://diffusion-vla.github.io/","Project")</x:f>
        <x:v>HYPERLINK is not implemented. linkLocation=https://diffusion-vla.github.io/, friendlyName=Project</x:v>
      </x:c>
      <x:c r="P13" t="e">
        <x:f>HYPERLINK("https://github.com/juruobenruo/DexVLA","GitHub")</x:f>
        <x:v>HYPERLINK is not implemented. linkLocation=https://github.com/juruobenruo/DexVLA, friendlyName=GitHub</x:v>
      </x:c>
      <x:c r="Q13" t="str">
        <x:v>Partial</x:v>
      </x:c>
      <x:c r="R13" t="str">
        <x:v>Unknown</x:v>
      </x:c>
      <x:c r="S13" t="str">
        <x:v>公开ScaleDP权重不等于DiVLA论文完整权重；待核实（作者入口/说明；未验证权重文件可下载或可用性）</x:v>
      </x:c>
      <x:c r="T13" t="str">
        <x:v>作者提供DexVLA示例数据：https://huggingface.co/datasets/lesjie/dexvla_example_data；不是原论文全部实验数据</x:v>
      </x:c>
      <x:c r="U13" t="str">
        <x:v>Unknown</x:v>
      </x:c>
      <x:c r="V13" t="str">
        <x:v>Single Arm / Parallel Gripper</x:v>
      </x:c>
      <x:c r="W13" t="str">
        <x:v>Single Arm</x:v>
      </x:c>
      <x:c r="X13" t="str">
        <x:v>Parallel Gripper</x:v>
      </x:c>
      <x:c r="Y13" t="str">
        <x:v>Unknown</x:v>
      </x:c>
      <x:c r="Z13" t="str">
        <x:v>作者提供DexVLA示例数据：https://huggingface.co/datasets/lesjie/dexvla_example_data；不是原论文全部实验数据</x:v>
      </x:c>
      <x:c r="AA13" t="str">
        <x:v>Unknown</x:v>
      </x:c>
      <x:c r="AB13" t="str">
        <x:v>Unknown</x:v>
      </x:c>
      <x:c r="AC13" t="str">
        <x:v>P1</x:v>
      </x:c>
      <x:c r="AD13" t="str">
        <x:v>Official proceedings verified; CCF A via user-provided CCF 7th-edition venue mapping</x:v>
      </x:c>
      <x:c r="AE13" t="str">
        <x:v>2026-09-19</x:v>
      </x:c>
      <x:c r="AF13" t="str">
        <x:v>官网明确指向后续DexVLA仓库并称可训练DiVLA；实际存在train_divla.sh、UNet策略和评估。原论文模型/完整实验对应关系未核实；Partial可运行条件待复核，不准入核心。 Static checks only; no cloning/running or download.</x:v>
      </x:c>
      <x:c r="AG13" t="str">
        <x:v>CCF A Conference</x:v>
      </x:c>
      <x:c r="AH13" t="str">
        <x:v>Official Conference Paper</x:v>
      </x:c>
      <x:c r="AI13" t="str">
        <x:v>No</x:v>
      </x:c>
      <x:c r="AJ13" t="str">
        <x:v>02_Papers/01_VLA/DiffusionVLA.md</x:v>
      </x:c>
      <x:c r="AK13" t="str">
        <x:v>Strict CCF A</x:v>
      </x:c>
      <x:c r="AL13" t="str">
        <x:v>https://proceedings.mlr.press/v267/wen25g.html; official abstract/proceedings metadata</x:v>
      </x:c>
      <x:c r="AM13" t="str">
        <x:v>Abstract-level</x:v>
      </x:c>
      <x:c r="AN13" t="str">
        <x:v>VLA / Robot Foundation Models</x:v>
      </x:c>
      <x:c r="AO13" t="str">
        <x:v>See canonical card Research Summary; generated only from official abstract-level evidence.</x:v>
      </x:c>
      <x:c r="AP13" t="str">
        <x:v>VLA; Autoregressive Reasoning / Diffusion</x:v>
      </x:c>
      <x:c r="AQ13" t="str">
        <x:v>Real Robot=Unknown; Dataset/Benchmark/Robot Platform retain Unknown when not verified.</x:v>
      </x:c>
      <x:c r="AR13" t="str">
        <x:v>** 可用于 VLA/机器人基础模型路线对比；应重点核对动作头、训练数据与真机部署成本是否适合当前平台。</x:v>
      </x:c>
      <x:c r="AS13" t="str">
        <x:v>Project-stated CCF seventh-edition mapping; official row pending where noted</x:v>
      </x:c>
      <x:c r="AT13" t="str">
        <x:v>VLA</x:v>
      </x:c>
      <x:c r="AU13" t="str">
        <x:v>—</x:v>
      </x:c>
      <x:c r="AV13" t="str">
        <x:v>未可靠匹配</x:v>
      </x:c>
      <x:c r="AW13" t="str">
        <x:v>2026-09-25</x:v>
      </x:c>
      <x:c r="AX13" t="str">
        <x:v>自回归 VLA 的动作精度与鲁棒性可能不足，而独立的扩散策略又缺少语言推理。</x:v>
      </x:c>
      <x:c r="AY13" t="str">
        <x:v>Unknown / Needs Full-Paper Verification</x:v>
      </x:c>
      <x:c r="AZ13" t="str">
        <x:v>以 `VLA; Autoregressive Reasoning / Diffusion` 为主要方法/能力线索；更细的结构和消融结论待正文核验。</x:v>
      </x:c>
      <x:c r="BA13" t="str">
        <x:v>作者提供 DexVLA 示例数据，但该样例不等于论文全部训练和评测数据。</x:v>
      </x:c>
      <x:c r="BB13" t="str">
        <x:v>Unknown / Needs Full-Paper Verification</x:v>
      </x:c>
      <x:c r="BC13" t="str">
        <x:v>- DiffusionVLA: Scaling Robot Foundation Models via Unified Diffusion and AutoregressionJunjie Wen, Yichen</x:v>
      </x:c>
      <x:c r="BD13" t="str">
        <x:v>Real Robot 字段为 `Unknown`；Dataset、Benchmark、Robot Platform 中的 Unknown 继续保留，不从题名推断。</x:v>
      </x:c>
      <x:c r="BE13" t="str">
        <x:v>Unknown / Needs Full-Paper Verification</x:v>
      </x:c>
      <x:c r="BF13" t="str">
        <x:v>Unknown / Needs Full-Paper Verification</x:v>
      </x:c>
      <x:c r="BG13" t="str">
        <x:v>Library Analysis / Research Note: Unknown / Needs Full-Paper Verification</x:v>
      </x:c>
      <x:c r="BH13" t="str">
        <x:v>VLA; Autoregressive Reasoning / Diffusion</x:v>
      </x:c>
      <x:c r="BI13" t="str">
        <x:v>A</x:v>
      </x:c>
      <x:c r="BJ13"/>
      <x:c r="BK13" t="str">
        <x:v>Unknown / Not Explicitly Reported in the currently accessible sources.</x:v>
      </x:c>
      <x:c r="BL13" t="str">
        <x:v>Unknown / Not Explicitly Reported in the currently accessible sources.</x:v>
      </x:c>
      <x:c r="BM13" t="str">
        <x:v>—</x:v>
      </x:c>
      <x:c r="BN13" t="str">
        <x:v>https://proceedings.mlr.press/v267/wen25g.html；官方摘要/论文集元数据</x:v>
      </x:c>
      <x:c r="BO13" t="str">
        <x:v>A-Upgraded</x:v>
      </x:c>
      <x:c r="BP13" t="str">
        <x:v>Not Found</x:v>
      </x:c>
      <x:c r="BQ13" t="str">
        <x:v>Partial</x:v>
      </x:c>
      <x:c r="BR13" t="str">
        <x:v>Unknown</x:v>
      </x:c>
      <x:c r="BS13" t="str">
        <x:v>https://raw.githubusercontent.com/mlresearch/v267/main/assets/wen25g/wen25g.pdf</x:v>
      </x:c>
      <x:c r="BT13" t="str">
        <x:v>No</x:v>
      </x:c>
      <x:c r="BU13" t="str">
        <x:v>No</x:v>
      </x:c>
      <x:c r="BV13" t="str">
        <x:v>No</x:v>
      </x:c>
      <x:c r="BW13" t="str">
        <x:v>No</x:v>
      </x:c>
      <x:c r="BX13" t="str">
        <x:v>No</x:v>
      </x:c>
      <x:c r="BY13" t="str">
        <x:v>No</x:v>
      </x:c>
      <x:c r="BZ13" t="str">
        <x:v>No</x:v>
      </x:c>
      <x:c r="CA13" t="str">
        <x:v>Unresolved</x:v>
      </x:c>
      <x:c r="CB13" t="str">
        <x:v>Not Found After Verification</x:v>
      </x:c>
      <x:c r="CC13" t="str">
        <x:v>Not Found After Verification</x:v>
      </x:c>
      <x:c r="CD13" t="str">
        <x:v>Audit logged - deep extraction pending</x:v>
      </x:c>
      <x:c r="CE13" t="str">
        <x:v>false</x:v>
      </x:c>
      <x:c r="CF13"/>
      <x:c r="CG13" t="str">
        <x:v>研究问题：自回归 VLA 的动作精度与鲁棒性可能不足，而独立的扩散策略又缺少语言推理。；之前方法的问题：纯自回归动作预测的精度可能不足；只做扩散控制又较难利用语言推理。；核心思路：DiffusionVLA 将自回归推理与扩散式动作生成结合，尝试兼顾语义理解和连续控制。；数据集与评测基准：作者提供 DexVLA 示例数据，但该样例不等于论文全部训练和评测数据。；为什么重要：为双臂 VLA 动作头选择提供“推理 + 生成式控制”的比较对象。；与当前项目的关系：High：有助于研究语言条件操作与 VLA 设计。；主要局限：实验覆盖的任务与本体有限；逐任务失败次数未从已访问页面完整提取。</x:v>
      </x:c>
      <x:c r="CH13" t="str">
        <x:v>纯自回归动作预测的精度可能不足；只做扩散控制又较难利用语言推理。</x:v>
      </x:c>
      <x:c r="CI13" t="str">
        <x:v>DiffusionVLA 将自回归推理与扩散式动作生成结合，尝试兼顾语义理解和连续控制。</x:v>
      </x:c>
      <x:c r="CJ13"/>
      <x:c r="CK13" t="str">
        <x:v>卡片记录对 102 个未见抓取物体达到 63.7% 准确率；DiVLA-2B 在单张 A6000 上为 82 Hz（摘要、Sec. 4.5）。</x:v>
      </x:c>
      <x:c r="CL13" t="str">
        <x:v>为双臂 VLA 动作头选择提供“推理 + 生成式控制”的比较对象。</x:v>
      </x:c>
      <x:c r="CM13" t="str">
        <x:v>实验覆盖的任务与本体有限；逐任务失败次数未从已访问页面完整提取。</x:v>
      </x:c>
      <x:c r="CN13"/>
      <x:c r="CO13" t="str">
        <x:v>High：有助于研究语言条件操作与 VLA 设计。</x:v>
      </x:c>
      <x:c r="CP13" t="str">
        <x:v>官方摘要/论文页; https://proceedings.mlr.press/v267/wen25g.html; 核验于 2026-09-23. 仅为摘要级速读；原 Evidence Quality 不变。 - 核验层级：摘要有可追溯来源</x:v>
      </x:c>
      <x:c r="CQ13" t="str">
        <x:v>Unresolved; no reliable citation service count</x:v>
      </x:c>
      <x:c r="CR13" t="n">
        <x:v>8</x:v>
      </x:c>
      <x:c r="CS13" t="n">
        <x:v>0</x:v>
      </x:c>
    </x:row>
    <x:row r="14" ht="58" customHeight="1">
      <x:c r="A14" t="str">
        <x:v>A013</x:v>
      </x:c>
      <x:c r="B14" t="str">
        <x:v>3D-VLA: A 3D Vision-Language-Action Generative World Model</x:v>
      </x:c>
      <x:c r="C14" t="str">
        <x:v>Haoyu Zhen; Xiaowen Qiu; Peihao Chen; Jincheng Yang; Xin Yan; Yilun Du; Yining Hong; Chuang Gan</x:v>
      </x:c>
      <x:c r="D14" t="n">
        <x:v>2024</x:v>
      </x:c>
      <x:c r="E14" t="str">
        <x:v>ICML</x:v>
      </x:c>
      <x:c r="F14" t="str">
        <x:v>A</x:v>
      </x:c>
      <x:c r="G14" t="str">
        <x:v>正式会议论文</x:v>
      </x:c>
      <x:c r="H14" t="str">
        <x:v>Method Paper</x:v>
      </x:c>
      <x:c r="I14" t="str">
        <x:v>A (CCF 7th edition; venue category not independently extracted from official PDF)</x:v>
      </x:c>
      <x:c r="J14" t="str">
        <x:v>VLA / Robot Foundation Models; Robot Manipulation / IL / Diffusion</x:v>
      </x:c>
      <x:c r="K14" t="str">
        <x:v>VLA; World Model / 3D Generation</x:v>
      </x:c>
      <x:c r="L14" t="e">
        <x:f>HYPERLINK("https://proceedings.mlr.press/v235/zhen24a.html","论文")</x:f>
        <x:v>HYPERLINK is not implemented. linkLocation=https://proceedings.mlr.press/v235/zhen24a.html, friendlyName=论文</x:v>
      </x:c>
      <x:c r="M14" t="e">
        <x:f>HYPERLINK("https://doi.org/10.48550/arXiv.2403.09631","DOI")</x:f>
        <x:v>HYPERLINK is not implemented. linkLocation=https://doi.org/10.48550/arXiv.2403.09631, friendlyName=DOI</x:v>
      </x:c>
      <x:c r="N14" t="e">
        <x:f>HYPERLINK("https://arxiv.org/abs/2403.09631","arXiv")</x:f>
        <x:v>HYPERLINK is not implemented. linkLocation=https://arxiv.org/abs/2403.09631, friendlyName=arXiv</x:v>
      </x:c>
      <x:c r="O14" t="e">
        <x:f>HYPERLINK("https://vis-www.cs.umass.edu/3dvla/","Project")</x:f>
        <x:v>HYPERLINK is not implemented. linkLocation=https://vis-www.cs.umass.edu/3dvla/, friendlyName=Project</x:v>
      </x:c>
      <x:c r="P14" t="e">
        <x:f>HYPERLINK("https://github.com/UMass-Embodied-AGI/3D-VLA","GitHub")</x:f>
        <x:v>HYPERLINK is not implemented. linkLocation=https://github.com/UMass-Embodied-AGI/3D-VLA, friendlyName=GitHub</x:v>
      </x:c>
      <x:c r="Q14" t="str">
        <x:v>Partial</x:v>
      </x:c>
      <x:c r="R14" t="str">
        <x:v>Unknown</x:v>
      </x:c>
      <x:c r="S14" t="str">
        <x:v>https://huggingface.co/anyezhy/3dvla-diffusion ; https://huggingface.co/anyezhy/3dvla-diffusion-pointcloud（作者入口/说明；未验证权重文件可下载或可用性）</x:v>
      </x:c>
      <x:c r="T14" t="str">
        <x:v>README及model card提供OpenX来源与数据说明；完整处理后数据待核实</x:v>
      </x:c>
      <x:c r="U14" t="str">
        <x:v>Unknown</x:v>
      </x:c>
      <x:c r="V14" t="str">
        <x:v>Single Arm / Parallel Gripper</x:v>
      </x:c>
      <x:c r="W14" t="str">
        <x:v>Single Arm</x:v>
      </x:c>
      <x:c r="X14" t="str">
        <x:v>Parallel Gripper</x:v>
      </x:c>
      <x:c r="Y14" t="str">
        <x:v>Unknown</x:v>
      </x:c>
      <x:c r="Z14" t="str">
        <x:v>- 作者从 Open X-Embodiment 中选取 12 个机器人数据集，并结合 Dobb-E、RH20T 的深度信息来源；还使用 RLBench、CALVIN 仿真数据，以及 Epic-Kitchens、HOI4D 人类活动数据。具体集合和用途见 §3.1、Appendix Table 8。</x:v>
      </x:c>
      <x:c r="AA14" t="str">
        <x:v>Unknown</x:v>
      </x:c>
      <x:c r="AB14" t="str">
        <x:v>Unknown</x:v>
      </x:c>
      <x:c r="AC14" t="str">
        <x:v>P1</x:v>
      </x:c>
      <x:c r="AD14" t="str">
        <x:v>Official proceedings verified; CCF A via user-provided CCF 7th-edition venue mapping</x:v>
      </x:c>
      <x:c r="AE14" t="str">
        <x:v>2026-09-19</x:v>
      </x:c>
      <x:c r="AF14" t="str">
        <x:v>公开目标图像/点云扩散训练与推理、LLM训练实现；未确认完整机器人策略评测链，保守标Partial，端到端可运行性待复核。 Static checks only; no cloning/running or download.</x:v>
      </x:c>
      <x:c r="AG14" t="str">
        <x:v>CCF A Conference</x:v>
      </x:c>
      <x:c r="AH14" t="str">
        <x:v>Official Conference Paper</x:v>
      </x:c>
      <x:c r="AI14" t="str">
        <x:v>Yes</x:v>
      </x:c>
      <x:c r="AJ14" t="str">
        <x:v>02_Papers/01_VLA/3D-VLA.md</x:v>
      </x:c>
      <x:c r="AK14" t="str">
        <x:v>Strict CCF A</x:v>
      </x:c>
      <x:c r="AL14" t="str">
        <x:v>https://proceedings.mlr.press/v235/zhen24a.html; official abstract/proceedings metadata</x:v>
      </x:c>
      <x:c r="AM14" t="str">
        <x:v>已核验正文关键章节与附录</x:v>
      </x:c>
      <x:c r="AN14" t="str">
        <x:v>VLA / Robot Foundation Models; Robot Manipulation / IL / Diffusion</x:v>
      </x:c>
      <x:c r="AO14" t="str">
        <x:v>See canonical card Research Summary; generated only from official abstract-level evidence.</x:v>
      </x:c>
      <x:c r="AP14" t="str">
        <x:v>VLA; World Model / 3D Generation</x:v>
      </x:c>
      <x:c r="AQ14" t="str">
        <x:v>Real Robot=Unknown; Dataset/Benchmark/Robot Platform retain Unknown when not verified.</x:v>
      </x:c>
      <x:c r="AR14" t="str">
        <x:v>可用于双臂普通夹爪项目的目标生成和 3D grounding 基线设计；论文未验证双臂或真机，需实测。</x:v>
      </x:c>
      <x:c r="AS14" t="str">
        <x:v>Project-stated CCF seventh-edition mapping; official row pending where noted</x:v>
      </x:c>
      <x:c r="AT14" t="str">
        <x:v>VLA</x:v>
      </x:c>
      <x:c r="AU14" t="n">
        <x:v>14</x:v>
      </x:c>
      <x:c r="AV14" t="str">
        <x:v>OpenAlex</x:v>
      </x:c>
      <x:c r="AW14" t="str">
        <x:v>2026-09-25</x:v>
      </x:c>
      <x:c r="AX14" t="str">
        <x:v>2D VLA 对三维空间关系、目标物体位置和动作后的目标状态建模不足。</x:v>
      </x:c>
      <x:c r="AY14" t="str">
        <x:v>直接从二维观测映射动作，难以显式利用三维关系并预测可供规划使用的目标状态。</x:v>
      </x:c>
      <x:c r="AZ14" t="str">
        <x:v>统一 3D 场景特征、目标状态生成与动作 token 的语言模型框架。</x:v>
      </x:c>
      <x:c r="BA14" t="str">
        <x:v>Open X-Embodiment 及其他机器人/人类活动数据来源；评测 RLBench、CALVIN 与具身推理/定位/生成任务。</x:v>
      </x:c>
      <x:c r="BB14" t="str">
        <x:v>推理：3D-LLM、BLIP2、OpenFlamingo、LLaVA；定位：Kosmos-2、CoVLM；目标生成：Instruct-P2P、SuSIE、NeXT-GPT、Point-E；规划：LanCon-Learn、MCIL。</x:v>
      </x:c>
      <x:c r="BC14" t="str">
        <x:v>统一处理三维场景理解、目标图像/点云生成与机器人动作 token；构建大规模 3D 具身指令数据。</x:v>
      </x:c>
      <x:c r="BD14" t="str">
        <x:v>具身问答/描述、3D 定位、目标图像与点云生成，以及 RLBench、CALVIN 仿真规划；未核实真机或双臂实验。</x:v>
      </x:c>
      <x:c r="BE14" t="str">
        <x:v>3D 定位 IoU 29.33；目标点云 P-FID/Chamfer-L1=4.796/0.139；CALVIN 五任务完成率为 0（Table 2,4,6）。</x:v>
      </x:c>
      <x:c r="BF14" t="str">
        <x:v>小物体精细操作受限；生成目标可 hallucinate；深度尺度和点云噪声影响真实场景表现。</x:v>
      </x:c>
      <x:c r="BG14" t="str">
        <x:v>目标一致性、长时程执行、精细动作量化和真实 3D 感知仍待解决。</x:v>
      </x:c>
      <x:c r="BH14" t="str">
        <x:v>VLA; World Model / 3D Generation</x:v>
      </x:c>
      <x:c r="BI14" t="str">
        <x:v>A</x:v>
      </x:c>
      <x:c r="BJ14" t="str">
        <x:v>在规划前检查生成目标与当前场景/任务的一致性，评估能否减少目标 hallucination 引发的执行错误；属于待检索研究问题。</x:v>
      </x:c>
      <x:c r="BK14" t="str">
        <x:v>去掉预测 bounding box 后，目标图像指标混合变化、点云指标变差；去掉 Goal 后 RLBench 四任务由 68/80/40/28 降至 58/68/34/24。Tables 3–5。</x:v>
      </x:c>
      <x:c r="BL14" t="str">
        <x:v>§6：目标生成可能改变纹理/形状、令物体消失、预测不相关的未来或状态无变化；小物体精细操作失败。</x:v>
      </x:c>
      <x:c r="BM14" t="str">
        <x:v>https://openalex.org/W4392886475</x:v>
      </x:c>
      <x:c r="BN14" t="str">
        <x:v>PMLR 官方 PDF：§3.1–3.3、§4.1–4.3、§5.1–5.3、§6–7；Figures 2–3、5–6；Tables 1–6、Appendix Tables 7–9。https://raw.githubusercontent.com/mlresearch/v235/main/assets/zhen24a/zhen24a.pdf</x:v>
      </x:c>
      <x:c r="BO14" t="str">
        <x:v>A-Upgraded</x:v>
      </x:c>
      <x:c r="BP14" t="str">
        <x:v>官方 PDF 内 Appendix A–D 已检查；未找到独立补充包。</x:v>
      </x:c>
      <x:c r="BQ14" t="str">
        <x:v>Partial</x:v>
      </x:c>
      <x:c r="BR14" t="str">
        <x:v>Unknown</x:v>
      </x:c>
      <x:c r="BS14" t="e">
        <x:f>HYPERLINK("https://raw.githubusercontent.com/mlresearch/v235/main/assets/zhen24a/zhen24a.pdf","论文")</x:f>
        <x:v>HYPERLINK is not implemented. linkLocation=https://raw.githubusercontent.com/mlresearch/v235/main/assets/zhen24a/zhen24a.pdf, friendlyName=论文</x:v>
      </x:c>
      <x:c r="BT14" t="str">
        <x:v>Yes</x:v>
      </x:c>
      <x:c r="BU14" t="str">
        <x:v>Yes</x:v>
      </x:c>
      <x:c r="BV14" t="str">
        <x:v>Yes</x:v>
      </x:c>
      <x:c r="BW14" t="str">
        <x:v>Yes</x:v>
      </x:c>
      <x:c r="BX14" t="str">
        <x:v>Yes</x:v>
      </x:c>
      <x:c r="BY14" t="str">
        <x:v>Yes</x:v>
      </x:c>
      <x:c r="BZ14" t="str">
        <x:v>Yes</x:v>
      </x:c>
      <x:c r="CA14" t="str">
        <x:v>Matched</x:v>
      </x:c>
      <x:c r="CB14" t="str">
        <x:v>arXiv DOI verified; proceedings DOI not located</x:v>
      </x:c>
      <x:c r="CC14" t="str">
        <x:v>Not Found After Verification</x:v>
      </x:c>
      <x:c r="CD14" t="str">
        <x:v>Completed-A</x:v>
      </x:c>
      <x:c r="CE14" t="str">
        <x:v>true</x:v>
      </x:c>
      <x:c r="CF14" t="str">
        <x:v>Completed-A</x:v>
      </x:c>
      <x:c r="CG14" t="str">
        <x:v>研究问题：不少 VLA 方法主要从视觉观测直接预测动作，对场景三维关系、被操作物体的位置以及动作执行后的目标状态建模不足。作者研究如何让一个模型同时处理 3D 场景理解、语言指令、目标状态生成和机器人动作规划。；之前方法的问题：作者指出，2D 视觉特征难以充分表达空间关系；已有 3D 多模态语言模型的预训练目标和数据未必与具身任务对齐。因此本文没有直接加载预训练 3D-LLM 权重，而是采用 BLIP2-FlanT5XL 作为语言模型骨干，并训练具身相关表示和输出。；核心思路：把 3D 场景特征、物体与位置标记、目标图像/点云生成，以及离散机器人动作 token 放进统一的语言模型流程。模型可以先根据任务想象目标状态，再把该状态作为动作规划的条件。；输入：- 视觉：单视角或多视角 RGB 图像；构造 3D 场景输入时使用深度或点云信息。；与当前项目的关系：本文与 VLA grounding、三维目标表示和目标状态生成高度相关。对当前双臂普通夹爪项目，可借鉴“先预测目标状态、再条件化动作”的评测思路；但论文所查实验没有给出双臂普通夹爪或真机验证，迁移性仍需独立实验确认。</x:v>
      </x:c>
      <x:c r="CH14" t="str">
        <x:v>现有 VLA 对三维关系和环境动态的建模不足，难以把动作预测与未来场景变化结合。</x:v>
      </x:c>
      <x:c r="CI14" t="str">
        <x:v>3D-VLA 把三维场景表示、动作 token 与生成未来图像/点云的模型结合，用于语言条件的操作规划。</x:v>
      </x:c>
      <x:c r="CJ14" t="str">
        <x:v>Official PMLR abstract only states held-in dataset improvement; named baselines and metrics require PDF extraction.</x:v>
      </x:c>
      <x:c r="CK14" t="str">
        <x:v>官方 PMLR 页面报告了推理、生成和规划能力的提升；摘要没有足以安全复述的统一量化值。</x:v>
      </x:c>
      <x:c r="CL14" t="str">
        <x:v>把未来场景预测引入 VLA，是研究三维 Grounding 和长任务规划的参考。</x:v>
      </x:c>
      <x:c r="CM14" t="str">
        <x:v>当前摘要不足以核实完整 benchmark 表、真机覆盖范围和失败案例，不能据此宣称全面泛化。</x:v>
      </x:c>
      <x:c r="CN14" t="str">
        <x:v>Library Analysis: closed-loop robustness and real dual-arm execution of generated 3D plans remain open.</x:v>
      </x:c>
      <x:c r="CO14" t="str">
        <x:v>High：有助于研究语言条件操作与 VLA 设计。</x:v>
      </x:c>
      <x:c r="CP14" t="str">
        <x:v>官方摘要/论文页; https://proceedings.mlr.press/v235/zhen24a.html; 核验于 2026-09-23. 仅为摘要级速读；原 Evidence Quality 不变。 - 核验层级：摘要有可追溯来源</x:v>
      </x:c>
      <x:c r="CQ14" t="str">
        <x:v>doi</x:v>
      </x:c>
      <x:c r="CR14" t="str">
        <x:v>1</x:v>
      </x:c>
      <x:c r="CS14" t="str">
        <x:v>9</x:v>
      </x:c>
    </x:row>
    <x:row r="15" ht="58" customHeight="1">
      <x:c r="A15" t="str">
        <x:v>A014</x:v>
      </x:c>
      <x:c r="B15" t="str">
        <x:v>RoboMamba: Efficient Vision-Language-Action Model for Robotic Reasoning and Manipulation</x:v>
      </x:c>
      <x:c r="C15" t="str">
        <x:v>Liu, Jiaming; Liu, Mengzhen; Wang, Zhenyu; An, Pengju; Li, Xiaoqi; Zhou, Kaichen; Yang, Senqiao; Zhang, Renrui; Guo, Yandong; Zhang, Shanghang</x:v>
      </x:c>
      <x:c r="D15" t="n">
        <x:v>2024</x:v>
      </x:c>
      <x:c r="E15" t="str">
        <x:v>NeurIPS</x:v>
      </x:c>
      <x:c r="F15" t="str">
        <x:v>A</x:v>
      </x:c>
      <x:c r="G15" t="str">
        <x:v>Official Conference Paper</x:v>
      </x:c>
      <x:c r="H15" t="str">
        <x:v>Method Paper</x:v>
      </x:c>
      <x:c r="I15" t="str">
        <x:v>A (CCF 7th edition; venue category not independently extracted from official PDF)</x:v>
      </x:c>
      <x:c r="J15" t="str">
        <x:v>VLA / Robot Foundation Models</x:v>
      </x:c>
      <x:c r="K15" t="str">
        <x:v>VLA; Efficient Model / Pose Prediction</x:v>
      </x:c>
      <x:c r="L15" t="e">
        <x:f>HYPERLINK("https://proceedings.neurips.cc/paper_files/paper/2024/hash/46a126492ea6fb87410e55a58df2e189-Abstract-Conference.html","论文")</x:f>
        <x:v>HYPERLINK is not implemented. linkLocation=https://proceedings.neurips.cc/paper_files/paper/2024/hash/46a126492ea6fb87410e55a58df2e189-Abstract-Conference.html, friendlyName=论文</x:v>
      </x:c>
      <x:c r="M15" t="e">
        <x:f>HYPERLINK("https://doi.org/10.52202/079017-1266","DOI")</x:f>
        <x:v>HYPERLINK is not implemented. linkLocation=https://doi.org/10.52202/079017-1266, friendlyName=DOI</x:v>
      </x:c>
      <x:c r="N15"/>
      <x:c r="O15" t="e">
        <x:f>HYPERLINK("https://sites.google.com/view/robomamba-web","Project")</x:f>
        <x:v>HYPERLINK is not implemented. linkLocation=https://sites.google.com/view/robomamba-web, friendlyName=Project</x:v>
      </x:c>
      <x:c r="P15" t="e">
        <x:f>HYPERLINK("https://github.com/lmzpai/roboMamba","GitHub")</x:f>
        <x:v>HYPERLINK is not implemented. linkLocation=https://github.com/lmzpai/roboMamba, friendlyName=GitHub</x:v>
      </x:c>
      <x:c r="Q15" t="str">
        <x:v>Partial</x:v>
      </x:c>
      <x:c r="R15" t="str">
        <x:v>Unknown</x:v>
      </x:c>
      <x:c r="S15" t="str">
        <x:v>test分支README提供百度网盘链接；未下载（作者入口/说明；未验证权重文件可下载或可用性）</x:v>
      </x:c>
      <x:c r="T15" t="str">
        <x:v>训练数据发布完整性未确认</x:v>
      </x:c>
      <x:c r="U15" t="str">
        <x:v>Unknown</x:v>
      </x:c>
      <x:c r="V15" t="str">
        <x:v>Single Arm / Parallel Gripper</x:v>
      </x:c>
      <x:c r="W15" t="str">
        <x:v>Single Arm</x:v>
      </x:c>
      <x:c r="X15" t="str">
        <x:v>Parallel Gripper</x:v>
      </x:c>
      <x:c r="Y15" t="str">
        <x:v>Unknown</x:v>
      </x:c>
      <x:c r="Z15" t="str">
        <x:v>训练数据发布完整性未确认</x:v>
      </x:c>
      <x:c r="AA15" t="str">
        <x:v>Unknown</x:v>
      </x:c>
      <x:c r="AB15" t="str">
        <x:v>Unknown</x:v>
      </x:c>
      <x:c r="AC15" t="str">
        <x:v>P1</x:v>
      </x:c>
      <x:c r="AD15" t="str">
        <x:v>Official proceedings verified; CCF A via user-provided CCF 7th-edition venue mapping</x:v>
      </x:c>
      <x:c r="AE15" t="str">
        <x:v>2026-09-19</x:v>
      </x:c>
      <x:c r="AF15" t="str">
        <x:v>实际存在模型、src/test.py和src/script/test.sh；README要求邮件索取训练代码。test分支提供权重入口。未验证权重可下载/端到端运行，且项目页未查到直接GitHub出链，作者归属链须补核。 Static checks only; no cloning/running or download.</x:v>
      </x:c>
      <x:c r="AG15" t="str">
        <x:v>CCF A Conference</x:v>
      </x:c>
      <x:c r="AH15" t="str">
        <x:v>Official Conference Paper</x:v>
      </x:c>
      <x:c r="AI15" t="str">
        <x:v>No</x:v>
      </x:c>
      <x:c r="AJ15" t="str">
        <x:v>02_Papers/01_VLA/RoboMamba.md</x:v>
      </x:c>
      <x:c r="AK15" t="str">
        <x:v>Strict CCF A</x:v>
      </x:c>
      <x:c r="AL15" t="str">
        <x:v>https://proceedings.neurips.cc/paper_files/paper/2024/hash/46a126492ea6fb87410e55a58df2e189-Abstract-Conference.html; official abstract/proceedings metadata</x:v>
      </x:c>
      <x:c r="AM15" t="str">
        <x:v>Abstract-level</x:v>
      </x:c>
      <x:c r="AN15" t="str">
        <x:v>VLA / Robot Foundation Models</x:v>
      </x:c>
      <x:c r="AO15" t="str">
        <x:v>See canonical card Research Summary; generated only from official abstract-level evidence.</x:v>
      </x:c>
      <x:c r="AP15" t="str">
        <x:v>VLA; Efficient Model / Pose Prediction</x:v>
      </x:c>
      <x:c r="AQ15" t="str">
        <x:v>Real Robot=Unknown; Dataset/Benchmark/Robot Platform retain Unknown when not verified.</x:v>
      </x:c>
      <x:c r="AR15" t="str">
        <x:v>** 可用于 VLA/机器人基础模型路线对比；应重点核对动作头、训练数据与真机部署成本是否适合当前平台。</x:v>
      </x:c>
      <x:c r="AS15" t="str">
        <x:v>Project-stated CCF seventh-edition mapping; official row pending where noted</x:v>
      </x:c>
      <x:c r="AT15" t="str">
        <x:v>VLA</x:v>
      </x:c>
      <x:c r="AU15" t="n">
        <x:v>13</x:v>
      </x:c>
      <x:c r="AV15" t="str">
        <x:v>OpenAlex</x:v>
      </x:c>
      <x:c r="AW15" t="str">
        <x:v>2026-09-25</x:v>
      </x:c>
      <x:c r="AX15" t="str">
        <x:v>VLA 要兼顾视觉语言推理、动作预测和可承受的微调/推理成本。</x:v>
      </x:c>
      <x:c r="AY15" t="str">
        <x:v>Unknown / Needs Full-Paper Verification</x:v>
      </x:c>
      <x:c r="AZ15" t="str">
        <x:v>以 `VLA; Efficient Model / Pose Prediction` 为主要方法/能力线索；更细的结构和消融结论待正文核验。</x:v>
      </x:c>
      <x:c r="BA15" t="str">
        <x:v>训练数据发布完整性尚未确认；仿真与真机评测设置需对照原文。</x:v>
      </x:c>
      <x:c r="BB15" t="str">
        <x:v>Unknown / Needs Full-Paper Verification</x:v>
      </x:c>
      <x:c r="BC15" t="str">
        <x:v>- Inspired by this, we introduce RoboMamba, an end-to-end robotic VLA model that leverages Mamba to deliver both robotic reasoning and action capabilities, while maintaining efficient fine-tuning and inference.</x:v>
      </x:c>
      <x:c r="BD15" t="str">
        <x:v>Real Robot 字段为 `Unknown`；Dataset、Benchmark、Robot Platform 中的 Unknown 继续保留，不从题名推断。</x:v>
      </x:c>
      <x:c r="BE15" t="str">
        <x:v>论文报告在仿真与真机姿态预测任务中优于所比较 VLA，推理速度约为其 3 倍；具体比较对象见原文。</x:v>
      </x:c>
      <x:c r="BF15" t="str">
        <x:v>Unknown / Needs Full-Paper Verification</x:v>
      </x:c>
      <x:c r="BG15" t="str">
        <x:v>Library Analysis / Research Note: Unknown / Needs Full-Paper Verification</x:v>
      </x:c>
      <x:c r="BH15" t="str">
        <x:v>VLA; Efficient Model / Pose Prediction</x:v>
      </x:c>
      <x:c r="BI15" t="str">
        <x:v>B</x:v>
      </x:c>
      <x:c r="BJ15"/>
      <x:c r="BK15" t="str">
        <x:v>Unknown / Not Explicitly Reported in the currently accessible sources.</x:v>
      </x:c>
      <x:c r="BL15" t="str">
        <x:v>Unknown / Not Explicitly Reported in the currently accessible sources.</x:v>
      </x:c>
      <x:c r="BM15" t="str">
        <x:v>https://openalex.org/W4415797921</x:v>
      </x:c>
      <x:c r="BN15" t="str">
        <x:v>https://proceedings.neurips.cc/paper_files/paper/2024/hash/46a126492ea6fb87410e55a58df2e189-Abstract-Conference.html; https://sites.google.com/view/robomamba-web; https://github.com/lm</x:v>
      </x:c>
      <x:c r="BO15" t="str">
        <x:v>B-Fulltext-Unavailable</x:v>
      </x:c>
      <x:c r="BP15" t="str">
        <x:v>Not Found</x:v>
      </x:c>
      <x:c r="BQ15" t="str">
        <x:v>Partial</x:v>
      </x:c>
      <x:c r="BR15" t="str">
        <x:v>Unknown</x:v>
      </x:c>
      <x:c r="BS15" t="str">
        <x:v>https://proceedings.neurips.cc/paper_files/paper/2024/file/46a126492ea6fb87410e55a58df2e189-Paper-Conference.pdf</x:v>
      </x:c>
      <x:c r="BT15" t="str">
        <x:v>No</x:v>
      </x:c>
      <x:c r="BU15" t="str">
        <x:v>No</x:v>
      </x:c>
      <x:c r="BV15" t="str">
        <x:v>No</x:v>
      </x:c>
      <x:c r="BW15" t="str">
        <x:v>No</x:v>
      </x:c>
      <x:c r="BX15" t="str">
        <x:v>No</x:v>
      </x:c>
      <x:c r="BY15" t="str">
        <x:v>No</x:v>
      </x:c>
      <x:c r="BZ15" t="str">
        <x:v>No</x:v>
      </x:c>
      <x:c r="CA15" t="str">
        <x:v>Matched</x:v>
      </x:c>
      <x:c r="CB15" t="str">
        <x:v>Not Found After Verification</x:v>
      </x:c>
      <x:c r="CC15" t="str">
        <x:v>Not Found After Verification</x:v>
      </x:c>
      <x:c r="CD15" t="str">
        <x:v>Audit logged - deep extraction pending</x:v>
      </x:c>
      <x:c r="CE15" t="str">
        <x:v>false</x:v>
      </x:c>
      <x:c r="CF15"/>
      <x:c r="CG15" t="str">
        <x:v>研究问题：VLA 要兼顾视觉语言推理、动作预测和可承受的微调/推理成本。；之前方法的问题：已有 VLA 在复杂任务推理与微调计算成本之间存在权衡。；核心思路：RoboMamba 以 Mamba 架构建立端到端 VLA，重点降低适配和在线推理成本。；主要结果：论文报告在仿真与真机姿态预测任务中优于所比较 VLA，推理速度约为其 3 倍；具体比较对象见原文。；为什么重要：可作为部署时的速度—能力权衡参考。；与当前项目的关系：High：有助于研究语言条件操作与 VLA 设计。</x:v>
      </x:c>
      <x:c r="CH15" t="str">
        <x:v>已有 VLA 在复杂任务推理与微调计算成本之间存在权衡。</x:v>
      </x:c>
      <x:c r="CI15" t="str">
        <x:v>RoboMamba 以 Mamba 架构建立端到端 VLA，重点降低适配和在线推理成本。</x:v>
      </x:c>
      <x:c r="CJ15"/>
      <x:c r="CK15" t="str">
        <x:v>论文报告在仿真与真机姿态预测任务中优于所比较 VLA，推理速度约为其 3 倍；具体比较对象见原文。</x:v>
      </x:c>
      <x:c r="CL15" t="str">
        <x:v>可作为部署时的速度—能力权衡参考。</x:v>
      </x:c>
      <x:c r="CM15" t="str">
        <x:v>目前证据不足以证明其机器人和任务覆盖达到大型通用策略的广度。</x:v>
      </x:c>
      <x:c r="CN15"/>
      <x:c r="CO15" t="str">
        <x:v>High：有助于研究语言条件操作与 VLA 设计。</x:v>
      </x:c>
      <x:c r="CP15" t="str">
        <x:v>官方摘要/论文页; https://arxiv.org/html/2406.04339; 核验于 2026-09-23. 仅为摘要级速读；原 Evidence Quality 不变。 - 核验层级：摘要有可追溯来源</x:v>
      </x:c>
      <x:c r="CQ15" t="str">
        <x:v>doi</x:v>
      </x:c>
      <x:c r="CR15" t="n">
        <x:v>3</x:v>
      </x:c>
      <x:c r="CS15" t="n">
        <x:v>3</x:v>
      </x:c>
    </x:row>
    <x:row r="16" ht="58" customHeight="1">
      <x:c r="A16" t="str">
        <x:v>A015</x:v>
      </x:c>
      <x:c r="B16" t="str">
        <x:v>FlowPolicy: Enabling Fast and Robust 3D Flow-Based Policy via Consistency Flow Matching for Robot Manipulation</x:v>
      </x:c>
      <x:c r="C16" t="str">
        <x:v>Unknown — not extracted in this pass</x:v>
      </x:c>
      <x:c r="D16" t="n">
        <x:v>2025</x:v>
      </x:c>
      <x:c r="E16" t="str">
        <x:v>AAAI</x:v>
      </x:c>
      <x:c r="F16" t="str">
        <x:v>A</x:v>
      </x:c>
      <x:c r="G16" t="str">
        <x:v>Official Conference Paper</x:v>
      </x:c>
      <x:c r="H16" t="str">
        <x:v>Method Paper</x:v>
      </x:c>
      <x:c r="I16" t="str">
        <x:v>A (CCF 7th edition; venue category not independently extracted from official PDF)</x:v>
      </x:c>
      <x:c r="J16" t="str">
        <x:v>Robot Manipulation / IL / Diffusion</x:v>
      </x:c>
      <x:c r="K16" t="str">
        <x:v>Robot Manipulation; Consistency Flow Matching / 3D Policy</x:v>
      </x:c>
      <x:c r="L16" t="e">
        <x:f>HYPERLINK("https://ojs.aaai.org/index.php/AAAI/article/view/33617","论文")</x:f>
        <x:v>HYPERLINK is not implemented. linkLocation=https://ojs.aaai.org/index.php/AAAI/article/view/33617, friendlyName=论文</x:v>
      </x:c>
      <x:c r="M16" t="str">
        <x:v>Unknown</x:v>
      </x:c>
      <x:c r="N16"/>
      <x:c r="O16"/>
      <x:c r="P16" t="e">
        <x:f>HYPERLINK("https://github.com/zql-kk/FlowPolicy","GitHub")</x:f>
        <x:v>HYPERLINK is not implemented. linkLocation=https://github.com/zql-kk/FlowPolicy, friendlyName=GitHub</x:v>
      </x:c>
      <x:c r="Q16" t="str">
        <x:v>Released</x:v>
      </x:c>
      <x:c r="R16" t="str">
        <x:v>Unknown</x:v>
      </x:c>
      <x:c r="S16" t="str">
        <x:v>本轮未发现明确完整预训练策略权重入口；可按作者说明训练（作者入口/说明；未验证权重文件可下载或可用性）</x:v>
      </x:c>
      <x:c r="T16" t="str">
        <x:v>提供Adroit/MetaWorld示范生成脚本与说明；未下载数据</x:v>
      </x:c>
      <x:c r="U16" t="str">
        <x:v>Unknown</x:v>
      </x:c>
      <x:c r="V16" t="str">
        <x:v>Single Arm / Parallel Gripper</x:v>
      </x:c>
      <x:c r="W16" t="str">
        <x:v>Single Arm</x:v>
      </x:c>
      <x:c r="X16" t="str">
        <x:v>Parallel Gripper</x:v>
      </x:c>
      <x:c r="Y16" t="str">
        <x:v>Unknown</x:v>
      </x:c>
      <x:c r="Z16" t="str">
        <x:v>提供Adroit/MetaWorld示范生成脚本与说明；未下载数据</x:v>
      </x:c>
      <x:c r="AA16" t="str">
        <x:v>Unknown</x:v>
      </x:c>
      <x:c r="AB16" t="str">
        <x:v>Unknown</x:v>
      </x:c>
      <x:c r="AC16" t="str">
        <x:v>P0</x:v>
      </x:c>
      <x:c r="AD16" t="str">
        <x:v>Official proceedings verified; CCF A via user-provided CCF 7th-edition venue mapping</x:v>
      </x:c>
      <x:c r="AE16" t="str">
        <x:v>2026-09-19</x:v>
      </x:c>
      <x:c r="AF16" t="str">
        <x:v>AAAI Technical Track on Intelligent Robots，14754–14762。已查FlowPolicy类、训练与评估；README说明基准统计应取训练时记录，而独立eval脚本用于部署/推理。 Static checks only; no cloning/running or download.</x:v>
      </x:c>
      <x:c r="AG16" t="str">
        <x:v>CCF A Conference</x:v>
      </x:c>
      <x:c r="AH16" t="str">
        <x:v>Official Conference Paper</x:v>
      </x:c>
      <x:c r="AI16" t="str">
        <x:v>No</x:v>
      </x:c>
      <x:c r="AJ16" t="str">
        <x:v>02_Papers/06_Diffusion_Flow_IL_RL/FlowPolicy.md</x:v>
      </x:c>
      <x:c r="AK16" t="str">
        <x:v>Strict CCF A</x:v>
      </x:c>
      <x:c r="AL16" t="str">
        <x:v>https://ojs.aaai.org/index.php/AAAI/article/view/33617; official abstract/proceedings metadata</x:v>
      </x:c>
      <x:c r="AM16" t="str">
        <x:v>Abstract-level</x:v>
      </x:c>
      <x:c r="AN16" t="str">
        <x:v>Robot Manipulation / IL / Diffusion</x:v>
      </x:c>
      <x:c r="AO16" t="str">
        <x:v>Pending official abstract/full-text verification.</x:v>
      </x:c>
      <x:c r="AP16" t="str">
        <x:v>Robot Manipulation; Consistency Flow Matching / 3D Policy</x:v>
      </x:c>
      <x:c r="AQ16" t="str">
        <x:v>Real Robot=Unknown; Dataset/Benchmark/Robot Platform retain Unknown when not verified.</x:v>
      </x:c>
      <x:c r="AR16" t="str">
        <x:v>** 与机器人操作、模仿学习或策略泛化相关；是否进入 L2/L3 取决于与双臂普通夹爪平台的可迁移性。</x:v>
      </x:c>
      <x:c r="AS16" t="str">
        <x:v>Project-stated CCF seventh-edition mapping; official row pending where noted</x:v>
      </x:c>
      <x:c r="AT16" t="str">
        <x:v>Diffusion / Flow / IL / RL</x:v>
      </x:c>
      <x:c r="AU16" t="n">
        <x:v>20</x:v>
      </x:c>
      <x:c r="AV16" t="str">
        <x:v>OpenAlex</x:v>
      </x:c>
      <x:c r="AW16" t="str">
        <x:v>2026-09-25</x:v>
      </x:c>
      <x:c r="AX16" t="str">
        <x:v>扩散/流式动作生成往往需要多次采样，在线控制延迟较高。</x:v>
      </x:c>
      <x:c r="AY16" t="str">
        <x:v>Unknown / Needs Full-Paper Verification</x:v>
      </x:c>
      <x:c r="AZ16" t="str">
        <x:v>以 `Robot Manipulation; Consistency Flow Matching / 3D Policy` 为主要方法/能力线索；更细的结构和消融结论待正文核验。</x:v>
      </x:c>
      <x:c r="BA16" t="str">
        <x:v>Adroit、MetaWorld。</x:v>
      </x:c>
      <x:c r="BB16" t="str">
        <x:v>Unknown / Needs Full-Paper Verification</x:v>
      </x:c>
      <x:c r="BC16" t="str">
        <x:v>- 官方题名与元数据已确认；具体表述待补读官方摘要或正文。</x:v>
      </x:c>
      <x:c r="BD16" t="str">
        <x:v>Real Robot 字段为 `Unknown`；Dataset、Benchmark、Robot Platform 中的 Unknown 继续保留，不从题名推断。</x:v>
      </x:c>
      <x:c r="BE16" t="str">
        <x:v>AAAI 摘要报告在 Adroit 与 MetaWorld 上保持有竞争力的成功率，同时推理速度提高约 7 倍。</x:v>
      </x:c>
      <x:c r="BF16" t="str">
        <x:v>Unknown / Needs Full-Paper Verification</x:v>
      </x:c>
      <x:c r="BG16" t="str">
        <x:v>Library Analysis / Research Note: Unknown / Needs Full-Paper Verification</x:v>
      </x:c>
      <x:c r="BH16" t="str">
        <x:v>Robot Manipulation; Consistency Flow Matching / 3D Policy</x:v>
      </x:c>
      <x:c r="BI16" t="str">
        <x:v>B</x:v>
      </x:c>
      <x:c r="BJ16"/>
      <x:c r="BK16" t="str">
        <x:v>Unknown / Not Explicitly Reported in the currently accessible sources.</x:v>
      </x:c>
      <x:c r="BL16" t="str">
        <x:v>Unknown / Not Explicitly Reported in the currently accessible sources.</x:v>
      </x:c>
      <x:c r="BM16" t="str">
        <x:v>https://openalex.org/W4409365031</x:v>
      </x:c>
      <x:c r="BN16" t="str">
        <x:v>https://ojs.aaai.org/index.php/AAAI/article/view/33617; https://github.com/</x:v>
      </x:c>
      <x:c r="BO16" t="str">
        <x:v>B-Fulltext-Unavailable</x:v>
      </x:c>
      <x:c r="BP16" t="str">
        <x:v>Not Found</x:v>
      </x:c>
      <x:c r="BQ16" t="str">
        <x:v>Mostly Complete</x:v>
      </x:c>
      <x:c r="BR16" t="str">
        <x:v>Unknown</x:v>
      </x:c>
      <x:c r="BS16" t="str">
        <x:v>https://ojs.aaai.org/index.php/AAAI/article/download/33617/35772</x:v>
      </x:c>
      <x:c r="BT16" t="str">
        <x:v>No</x:v>
      </x:c>
      <x:c r="BU16" t="str">
        <x:v>No</x:v>
      </x:c>
      <x:c r="BV16" t="str">
        <x:v>No</x:v>
      </x:c>
      <x:c r="BW16" t="str">
        <x:v>No</x:v>
      </x:c>
      <x:c r="BX16" t="str">
        <x:v>No</x:v>
      </x:c>
      <x:c r="BY16" t="str">
        <x:v>No</x:v>
      </x:c>
      <x:c r="BZ16" t="str">
        <x:v>No</x:v>
      </x:c>
      <x:c r="CA16" t="str">
        <x:v>Matched</x:v>
      </x:c>
      <x:c r="CB16" t="str">
        <x:v>Not Found After Verification</x:v>
      </x:c>
      <x:c r="CC16" t="str">
        <x:v>Not Found After Verification</x:v>
      </x:c>
      <x:c r="CD16" t="str">
        <x:v>Audit logged - deep extraction pending</x:v>
      </x:c>
      <x:c r="CE16" t="str">
        <x:v>false</x:v>
      </x:c>
      <x:c r="CF16"/>
      <x:c r="CG16" t="str">
        <x:v>研究问题：扩散/流式动作生成往往需要多次采样，在线控制延迟较高。；之前方法的问题：生成质量与推理速度之间存在权衡。；核心思路：FlowPolicy 使用三维点云和 consistency flow matching，在单次推理中生成动作。；输入：官方摘要给出任务/数据类型；具体模型张量与接口需核对方法章节。；输出与动作：官方摘要未明确列出完整控制接口；需核对论文方法或代码。；数据集与评测基准：Adroit、MetaWorld。；主要结果：AAAI 摘要报告在 Adroit 与 MetaWorld 上保持有竞争力的成功率，同时推理速度提高约 7 倍。；为什么重要：双臂真机尤其关注动作频率；该工作可用于比较速度与成功率。；与当前项目的关系：Medium：方法可借鉴，但迁移到当前双臂硬件需验证。；主要局限：本段基于官方摘要；未覆盖全文失败案例、完整 Baseline 与方法消融。</x:v>
      </x:c>
      <x:c r="CH16" t="str">
        <x:v>生成质量与推理速度之间存在权衡。</x:v>
      </x:c>
      <x:c r="CI16" t="str">
        <x:v>FlowPolicy 使用三维点云和 consistency flow matching，在单次推理中生成动作。</x:v>
      </x:c>
      <x:c r="CJ16"/>
      <x:c r="CK16" t="str">
        <x:v>AAAI 摘要报告在 Adroit 与 MetaWorld 上保持有竞争力的成功率，同时推理速度提高约 7 倍。</x:v>
      </x:c>
      <x:c r="CL16" t="str">
        <x:v>双臂真机尤其关注动作频率；该工作可用于比较速度与成功率。</x:v>
      </x:c>
      <x:c r="CM16" t="str">
        <x:v>本段基于官方摘要；未覆盖全文失败案例、完整 Baseline 与方法消融。</x:v>
      </x:c>
      <x:c r="CN16"/>
      <x:c r="CO16" t="str">
        <x:v>Medium：方法可借鉴，但迁移到当前双臂硬件需验证。</x:v>
      </x:c>
      <x:c r="CP16" t="str">
        <x:v>官方摘要/论文页：https://ojs.aaai.org/index.php/AAAI/article/view/33617；核验于 2026-09-23。仅为摘要级速读，原 Evidence Quality 不变。 - 核验层级：摘要有可追溯来源</x:v>
      </x:c>
      <x:c r="CQ16" t="str">
        <x:v>final-pdf-author</x:v>
      </x:c>
      <x:c r="CR16" t="n">
        <x:v>0</x:v>
      </x:c>
      <x:c r="CS16" t="n">
        <x:v>1</x:v>
      </x:c>
    </x:row>
    <x:row r="17" ht="58" customHeight="1">
      <x:c r="A17" t="str">
        <x:v>A016</x:v>
      </x:c>
      <x:c r="B17" t="str">
        <x:v>UniGraspTransformer: Simplified Policy Distillation for Scalable Dexterous Robotic Grasping</x:v>
      </x:c>
      <x:c r="C17" t="str">
        <x:v>Wang, Wenbo; Wei, Fangyun; Zhou, Lei; Chen, Xi; Luo, Lin; Yi, Xiaohan; Zhang, Yizhong; Liang, Yaobo; Xu, Chang; Lu, Yan; Yang, Jiaolong; Guo, Baining</x:v>
      </x:c>
      <x:c r="D17" t="n">
        <x:v>2025</x:v>
      </x:c>
      <x:c r="E17" t="str">
        <x:v>CVPR</x:v>
      </x:c>
      <x:c r="F17" t="str">
        <x:v>A</x:v>
      </x:c>
      <x:c r="G17" t="str">
        <x:v>Official Conference Paper</x:v>
      </x:c>
      <x:c r="H17" t="str">
        <x:v>Method Paper</x:v>
      </x:c>
      <x:c r="I17" t="str">
        <x:v>A (CCF 7th edition; venue category not independently extracted from official PDF)</x:v>
      </x:c>
      <x:c r="J17" t="str">
        <x:v>Robot Manipulation / IL / Diffusion; Dexterous Hand / Dexterous Manipulation</x:v>
      </x:c>
      <x:c r="K17" t="str">
        <x:v>Dexterous Hand; Policy Distillation / Generalization</x:v>
      </x:c>
      <x:c r="L17" t="e">
        <x:f>HYPERLINK("https://openaccess.thecvf.com/content/CVPR2025/html/Wang_UniGraspTransformer_Simplified_Policy_Distillation_for_Scalable_Dexterous_Robotic_Grasping_CVPR_2025_paper.html","论文")</x:f>
        <x:v>HYPERLINK is not implemented. linkLocation=https://openaccess.thecvf.com/content/CVPR2025/html/Wang_UniGraspTransformer_Simplified_Policy_Distillation_for_Scalable_Dexterous_Robotic_Grasping_CVPR_2025_paper.html, friendlyName=论文</x:v>
      </x:c>
      <x:c r="M17" t="str">
        <x:v>Unknown</x:v>
      </x:c>
      <x:c r="N17"/>
      <x:c r="O17" t="e">
        <x:f>HYPERLINK("https://dexhand.github.io/UniGraspTransformer/","Project")</x:f>
        <x:v>HYPERLINK is not implemented. linkLocation=https://dexhand.github.io/UniGraspTransformer/, friendlyName=Project</x:v>
      </x:c>
      <x:c r="P17" t="e">
        <x:f>HYPERLINK("https://github.com/microsoft/UniGraspTransformer","GitHub")</x:f>
        <x:v>HYPERLINK is not implemented. linkLocation=https://github.com/microsoft/UniGraspTransformer, friendlyName=GitHub</x:v>
      </x:c>
      <x:c r="Q17" t="str">
        <x:v>Released</x:v>
      </x:c>
      <x:c r="R17" t="str">
        <x:v>Unknown</x:v>
      </x:c>
      <x:c r="S17" t="str">
        <x:v>IsaacGym3权重说明及IsaacGym4专用策略入口存在；IsaacGym4通用策略未发布（作者入口/说明；未验证权重文件可下载或可用性）</x:v>
      </x:c>
      <x:c r="T17" t="str">
        <x:v>提供资产/抓取初始化数据链接和生成轨迹步骤；未下载</x:v>
      </x:c>
      <x:c r="U17" t="str">
        <x:v>Unknown</x:v>
      </x:c>
      <x:c r="V17" t="str">
        <x:v>Dexterous Hand</x:v>
      </x:c>
      <x:c r="W17" t="str">
        <x:v>Unknown</x:v>
      </x:c>
      <x:c r="X17" t="str">
        <x:v>Dexterous Hand</x:v>
      </x:c>
      <x:c r="Y17" t="str">
        <x:v>Unknown</x:v>
      </x:c>
      <x:c r="Z17" t="str">
        <x:v>提供资产/抓取初始化数据链接和生成轨迹步骤；未下载</x:v>
      </x:c>
      <x:c r="AA17" t="str">
        <x:v>Unknown</x:v>
      </x:c>
      <x:c r="AB17" t="str">
        <x:v>Unknown</x:v>
      </x:c>
      <x:c r="AC17" t="str">
        <x:v>P1</x:v>
      </x:c>
      <x:c r="AD17" t="str">
        <x:v>Official proceedings verified; CCF A via user-provided CCF 7th-edition venue mapping</x:v>
      </x:c>
      <x:c r="AE17" t="str">
        <x:v>2026-09-19</x:v>
      </x:c>
      <x:c r="AF17" t="str">
        <x:v>已查在线RL和离线蒸馏实现及安装/训练/评估说明。代码Released；IsaacGym4通用策略权重仍Coming Soon，不代表代码也未发布。 Static checks only; no cloning/running or download.</x:v>
      </x:c>
      <x:c r="AG17" t="str">
        <x:v>CCF A Conference</x:v>
      </x:c>
      <x:c r="AH17" t="str">
        <x:v>Official Conference Paper</x:v>
      </x:c>
      <x:c r="AI17" t="str">
        <x:v>No</x:v>
      </x:c>
      <x:c r="AJ17" t="str">
        <x:v>02_Papers/04_Dexterous/UniGraspTransformer.md</x:v>
      </x:c>
      <x:c r="AK17" t="str">
        <x:v>Strict CCF A</x:v>
      </x:c>
      <x:c r="AL17" t="str">
        <x:v>https://openaccess.thecvf.com/content/CVPR2025/html/Wang_UniGraspTransformer_Simplified_Policy_Distillation_for_Scalable_Dexterous_Robotic_Grasping_CVPR_2025_paper.html; official abstract/proceedings metadata</x:v>
      </x:c>
      <x:c r="AM17" t="str">
        <x:v>Abstract-level</x:v>
      </x:c>
      <x:c r="AN17" t="str">
        <x:v>Robot Manipulation / IL / Diffusion; Dexterous Hand / Dexterous Manipulation</x:v>
      </x:c>
      <x:c r="AO17" t="str">
        <x:v>See canonical card Research Summary; generated only from official abstract-level evidence.</x:v>
      </x:c>
      <x:c r="AP17" t="str">
        <x:v>Dexterous Hand; Policy Distillation / Generalization</x:v>
      </x:c>
      <x:c r="AQ17" t="str">
        <x:v>Real Robot=Unknown; Dataset/Benchmark/Robot Platform retain Unknown when not verified.</x:v>
      </x:c>
      <x:c r="AR17" t="str">
        <x:v>** 对灵巧操作扩展有参考价值；当前普通夹爪主线需区分可迁移的学习方法与依赖多指硬件的部分。</x:v>
      </x:c>
      <x:c r="AS17" t="str">
        <x:v>Project-stated CCF seventh-edition mapping; official row pending where noted</x:v>
      </x:c>
      <x:c r="AT17" t="str">
        <x:v>Dexterous</x:v>
      </x:c>
      <x:c r="AU17" t="n">
        <x:v>7</x:v>
      </x:c>
      <x:c r="AV17" t="str">
        <x:v>OpenAlex</x:v>
      </x:c>
      <x:c r="AW17" t="str">
        <x:v>2026-09-25</x:v>
      </x:c>
      <x:c r="AX17" t="str">
        <x:v>通用灵巧手抓取需要在不同物体类别上预测稳定抓法。</x:v>
      </x:c>
      <x:c r="AY17" t="str">
        <x:v>Unknown / Needs Full-Paper Verification</x:v>
      </x:c>
      <x:c r="AZ17" t="str">
        <x:v>以 `Dexterous Hand; Policy Distillation / Generali</x:v>
      </x:c>
      <x:c r="BA17" t="str">
        <x:v>已核验摘要未明确说明；需查阅论文方法与实验章节。</x:v>
      </x:c>
      <x:c r="BB17" t="str">
        <x:v>Unknown / Needs Full-Paper Verification</x:v>
      </x:c>
      <x:c r="BC17" t="str">
        <x:v>- We introduce UniGraspTransformer, a universal Transformer-based network for dexterous robotic grasping that simplifies training while enhancing scalability and performance.</x:v>
      </x:c>
      <x:c r="BD17" t="str">
        <x:v>Real Robot 字段为 `Unknown`；Dataset、Benchmark、Robot Platform 中的 Unknown 继续保留，不从题名推断。</x:v>
      </x:c>
      <x:c r="BE17" t="str">
        <x:v>作者报告在多个物体类别上优于 UniDexGrasp++；具体成功率需查实验表。</x:v>
      </x:c>
      <x:c r="BF17" t="str">
        <x:v>Unknown / Needs Full-Paper Verification</x:v>
      </x:c>
      <x:c r="BG17" t="str">
        <x:v>Library Analysis / Research Note: Unknown / Needs Full-Paper Verification</x:v>
      </x:c>
      <x:c r="BH17" t="str">
        <x:v>Dexterous Hand; Policy Distillation / Generalization</x:v>
      </x:c>
      <x:c r="BI17" t="str">
        <x:v>B</x:v>
      </x:c>
      <x:c r="BJ17"/>
      <x:c r="BK17" t="str">
        <x:v>Unknown / Not Explicitly Reported in the currently accessible sources.</x:v>
      </x:c>
      <x:c r="BL17" t="str">
        <x:v>Unknown / Not Explicitly Reported in the currently accessible sources.</x:v>
      </x:c>
      <x:c r="BM17" t="str">
        <x:v>https://openalex.org/W4413145029</x:v>
      </x:c>
      <x:c r="BN17" t="str">
        <x:v>https://openaccess.thecvf.com/content/CVPR2025/html/Wang_UniGraspTransformer_Simplified_Policy_Distillation_for_Scalable_Dexterous_Robotic_Grasping_CVPR_2025_paper.html；官方摘要/论文集元数据</x:v>
      </x:c>
      <x:c r="BO17" t="str">
        <x:v>B-Fulltext-Unavailable</x:v>
      </x:c>
      <x:c r="BP17" t="str">
        <x:v>Not Found</x:v>
      </x:c>
      <x:c r="BQ17" t="str">
        <x:v>Mostly Complete</x:v>
      </x:c>
      <x:c r="BR17" t="str">
        <x:v>Unknown</x:v>
      </x:c>
      <x:c r="BS17" t="str">
        <x:v>https://openaccess.thecvf.com/content/CVPR2025/papers/Wang_UniGraspTransformer_Simplified_Policy_Distillation_for_Scalable_Dexterous_Robotic_Grasping_CVPR_2025_paper.pdf</x:v>
      </x:c>
      <x:c r="BT17" t="str">
        <x:v>No</x:v>
      </x:c>
      <x:c r="BU17" t="str">
        <x:v>No</x:v>
      </x:c>
      <x:c r="BV17" t="str">
        <x:v>No</x:v>
      </x:c>
      <x:c r="BW17" t="str">
        <x:v>No</x:v>
      </x:c>
      <x:c r="BX17" t="str">
        <x:v>No</x:v>
      </x:c>
      <x:c r="BY17" t="str">
        <x:v>No</x:v>
      </x:c>
      <x:c r="BZ17" t="str">
        <x:v>No</x:v>
      </x:c>
      <x:c r="CA17" t="str">
        <x:v>Matched</x:v>
      </x:c>
      <x:c r="CB17" t="str">
        <x:v>Not Found After Verification</x:v>
      </x:c>
      <x:c r="CC17" t="str">
        <x:v>Not Found After Verification</x:v>
      </x:c>
      <x:c r="CD17" t="str">
        <x:v>Audit logged - deep extraction pending</x:v>
      </x:c>
      <x:c r="CE17" t="str">
        <x:v>false</x:v>
      </x:c>
      <x:c r="CF17"/>
      <x:c r="CG17" t="str">
        <x:v>研究问题：通用灵巧手抓取需要在不同物体类别上预测稳定抓法。；之前方法的问题：复杂训练流程和手型依赖限制方法复用。；核心思路：UniGraspTransformer 用统一的 Transformer 网络预测灵巧抓取，并简化训练过程。；主要结果：作者报告在多个物体类别上优于 UniDexGrasp++；具体成功率需查实验表。；为什么重要：提供跨物体抓取模型的简洁架构基线。；与当前项目的关系：Medium：模型结构可参考，但需重做普通夹爪动作输出。；主要局限：灵巧手抓取 benchmark 与双臂真机任务仍有差距。</x:v>
      </x:c>
      <x:c r="CH17" t="str">
        <x:v>复杂训练流程和手型依赖限制方法复用。</x:v>
      </x:c>
      <x:c r="CI17" t="str">
        <x:v>UniGraspTransformer 用统一的 Transformer 网络预测灵巧抓取，并简化训练过程。</x:v>
      </x:c>
      <x:c r="CJ17"/>
      <x:c r="CK17" t="str">
        <x:v>作者报告在多个物体类别上优于 UniDexGrasp++；具体成功率需查实验表。</x:v>
      </x:c>
      <x:c r="CL17" t="str">
        <x:v>提供跨物体抓取模型的简洁架构基线。</x:v>
      </x:c>
      <x:c r="CM17" t="str">
        <x:v>灵巧手抓取 benchmark 与双臂真机任务仍有差距。</x:v>
      </x:c>
      <x:c r="CN17"/>
      <x:c r="CO17" t="str">
        <x:v>Medium：模型结构可参考，但需重做普通夹爪动作输出。</x:v>
      </x:c>
      <x:c r="CP17" t="str">
        <x:v>官方摘要/论文页; https://openaccess.thecvf.com/content/CVPR2025/html/Wang_UniGraspTransformer_Simplified_Policy_Distillation_for_Scalable_Dexterous_Robotic_Grasping_CVPR_2025_paper.html; 核验于 2026-09-23. 仅为摘要级速读；原 Evidence Quality 不变。 - 核验层级：摘要有可追溯来源</x:v>
      </x:c>
      <x:c r="CQ17" t="str">
        <x:v>title</x:v>
      </x:c>
      <x:c r="CR17" t="n">
        <x:v>1</x:v>
      </x:c>
      <x:c r="CS17" t="n">
        <x:v>0</x:v>
      </x:c>
    </x:row>
    <x:row r="18" ht="58" customHeight="1">
      <x:c r="A18" t="str">
        <x:v>A017</x:v>
      </x:c>
      <x:c r="B18" t="str">
        <x:v>Scaffolding Dexterous Manipulation with Vision-Language Models</x:v>
      </x:c>
      <x:c r="C18" t="str">
        <x:v>de Bakker, Vincent; Hejna, Joey; Lum, Tyler; Celik, Onur; Taranovic, Aleksandar; Blessing, Denis; Neumann, Gerhard; Bohg, Jeannette; Sadigh, Dorsa</x:v>
      </x:c>
      <x:c r="D18" t="n">
        <x:v>2025</x:v>
      </x:c>
      <x:c r="E18" t="str">
        <x:v>NeurIPS</x:v>
      </x:c>
      <x:c r="F18" t="str">
        <x:v>A</x:v>
      </x:c>
      <x:c r="G18" t="str">
        <x:v>Official Conference Paper</x:v>
      </x:c>
      <x:c r="H18" t="str">
        <x:v>Method Paper</x:v>
      </x:c>
      <x:c r="I18" t="str">
        <x:v>A (CCF 7th edition; venue category not independently extracted from official PDF)</x:v>
      </x:c>
      <x:c r="J18" t="str">
        <x:v>Dexterous Hand / Dexterous Manipulation</x:v>
      </x:c>
      <x:c r="K18" t="str">
        <x:v>Dexterous Hand; Residual RL / VLM Planning</x:v>
      </x:c>
      <x:c r="L18" t="e">
        <x:f>HYPERLINK("https://proceedings.neurips.cc/paper_files/paper/2025/hash/862644b156e51c35dea5a7446d640b14-Abstract-Conference.html","论文")</x:f>
        <x:v>HYPERLINK is not implemented. linkLocation=https://proceedings.neurips.cc/paper_files/paper/2025/hash/862644b156e51c35dea5a7446d640b14-Abstract-Conference.html, friendlyName=论文</x:v>
      </x:c>
      <x:c r="M18" t="e">
        <x:f>HYPERLINK("https://doi.org/10.52202/085713-3121","DOI")</x:f>
        <x:v>HYPERLINK is not implemented. linkLocation=https://doi.org/10.52202/085713-3121, friendlyName=DOI</x:v>
      </x:c>
      <x:c r="N18"/>
      <x:c r="O18" t="e">
        <x:f>HYPERLINK("https://sites.google.com/view/dexterous-vlm-scaffolding","Project")</x:f>
        <x:v>HYPERLINK is not implemented. linkLocation=https://sites.google.com/view/dexterous-vlm-scaffolding, friendlyName=Project</x:v>
      </x:c>
      <x:c r="P18" t="e">
        <x:f>HYPERLINK("https://github.com/vdebakker/vlm-scaffolding","GitHub")</x:f>
        <x:v>HYPERLINK is not implemented. linkLocation=https://github.com/vdebakker/vlm-scaffolding, friendlyName=GitHub</x:v>
      </x:c>
      <x:c r="Q18" t="str">
        <x:v>Released</x:v>
      </x:c>
      <x:c r="R18" t="str">
        <x:v>Unknown</x:v>
      </x:c>
      <x:c r="S18" t="str">
        <x:v>本轮未发现完整预训练策略包公开链接（作者入口/说明；未验证权重文件可下载或可用性）</x:v>
      </x:c>
      <x:c r="T18" t="str">
        <x:v>公开数据生成实现与任务资产；不等于所有论文轨迹均已提供</x:v>
      </x:c>
      <x:c r="U18" t="str">
        <x:v>Unknown</x:v>
      </x:c>
      <x:c r="V18" t="str">
        <x:v>Dexterous Hand</x:v>
      </x:c>
      <x:c r="W18" t="str">
        <x:v>Unknown</x:v>
      </x:c>
      <x:c r="X18" t="str">
        <x:v>Dexterous Hand</x:v>
      </x:c>
      <x:c r="Y18" t="str">
        <x:v>Unknown</x:v>
      </x:c>
      <x:c r="Z18" t="str">
        <x:v>公开数据生成实现与任务资产；不等于所有论文轨迹均已提供</x:v>
      </x:c>
      <x:c r="AA18" t="str">
        <x:v>Unknown</x:v>
      </x:c>
      <x:c r="AB18" t="str">
        <x:v>Unknown</x:v>
      </x:c>
      <x:c r="AC18" t="str">
        <x:v>P1</x:v>
      </x:c>
      <x:c r="AD18" t="str">
        <x:v>Official proceedings verified; CCF A via user-provided CCF 7th-edition venue mapping</x:v>
      </x:c>
      <x:c r="AE18" t="str">
        <x:v>2026-09-19</x:v>
      </x:c>
      <x:c r="AF18" t="str">
        <x:v>已查轨迹生成、RL训练和评估；README提供真机ROS部署说明。依赖外部Gemini服务、仿真器及机器人环境，未运行。 Static checks only; no cloning/running or download.</x:v>
      </x:c>
      <x:c r="AG18" t="str">
        <x:v>CCF A Conference</x:v>
      </x:c>
      <x:c r="AH18" t="str">
        <x:v>Official Conference Paper</x:v>
      </x:c>
      <x:c r="AI18" t="str">
        <x:v>No</x:v>
      </x:c>
      <x:c r="AJ18" t="str">
        <x:v>02_Papers/04_Dexterous/Scaffolding_Dexterous_Manipulation_with_Vision-Language_Models.md</x:v>
      </x:c>
      <x:c r="AK18" t="str">
        <x:v>Strict CCF A</x:v>
      </x:c>
      <x:c r="AL18" t="str">
        <x:v>https://proceedings.neurips.cc/paper_files/paper/2025/hash/862644b156e51c35dea5a7446d640b14-Abstract-Conference.html; official abstract/proceedings metadata</x:v>
      </x:c>
      <x:c r="AM18" t="str">
        <x:v>Abstract-level</x:v>
      </x:c>
      <x:c r="AN18" t="str">
        <x:v>Dexterous Hand / Dexterous Manipulation</x:v>
      </x:c>
      <x:c r="AO18" t="str">
        <x:v>See canonical card Research Summary; generated only from official abstract-level evidence.</x:v>
      </x:c>
      <x:c r="AP18" t="str">
        <x:v>Dexterous Hand; Residual RL / VLM Planning</x:v>
      </x:c>
      <x:c r="AQ18" t="str">
        <x:v>Real Robot=Unknown; Dataset/Benchmark/Robot Platform retain Unknown when not verified.</x:v>
      </x:c>
      <x:c r="AR18" t="str">
        <x:v>** 可用于 VLA/机器人基础模型路线对比；应重点核对动作头、训练数据与真机部署成本是否适合当前平台。</x:v>
      </x:c>
      <x:c r="AS18" t="str">
        <x:v>Project-stated CCF seventh-edition mapping; official row pending where noted</x:v>
      </x:c>
      <x:c r="AT18" t="str">
        <x:v>Dexterous</x:v>
      </x:c>
      <x:c r="AU18" t="n">
        <x:v>0</x:v>
      </x:c>
      <x:c r="AV18" t="str">
        <x:v>OpenAlex</x:v>
      </x:c>
      <x:c r="AW18" t="str">
        <x:v>2026-09-25</x:v>
      </x:c>
      <x:c r="AX18" t="str">
        <x:v>灵巧手操作数据和训练成本高，复杂任务还需要语义理解。</x:v>
      </x:c>
      <x:c r="AY18" t="str">
        <x:v>Unknown / Needs Full-Paper Verification</x:v>
      </x:c>
      <x:c r="AZ18" t="str">
        <x:v>以 `Dexterous Hand; Residual RL / VLM Planning` 为主要方法/能力线索；更细的结构和消融结论待正文核验。</x:v>
      </x:c>
      <x:c r="BA18" t="str">
        <x:v>已核验摘要未明确说明；需查阅论文方法与实验章节。</x:v>
      </x:c>
      <x:c r="BB18" t="str">
        <x:v>Unknown / Needs Full-Paper Verification</x:v>
      </x:c>
      <x:c r="BC18" t="str">
        <x:v>- Dexterous robotic hands are essential for performing complex manipulation tasks, yet remain difficult to train due to the challenges of demonstration collection and high-dimensional control.</x:v>
      </x:c>
      <x:c r="BD18" t="str">
        <x:v>Real Robot 字段为 `Unknown`；Dataset、Benchmark、Robot Platform 中的 Unknown 继续保留，不从题名推断。</x:v>
      </x:c>
      <x:c r="BE18" t="str">
        <x:v>Unknown / Needs Full-Paper Verification</x:v>
      </x:c>
      <x:c r="BF18" t="str">
        <x:v>Unknown / Needs Full-Paper Verification</x:v>
      </x:c>
      <x:c r="BG18" t="str">
        <x:v>Library Analysis / Research Note: Unknown / Needs Full-Paper Verification</x:v>
      </x:c>
      <x:c r="BH18" t="str">
        <x:v>Dexterous Hand; Residual RL / VLM Planning</x:v>
      </x:c>
      <x:c r="BI18" t="str">
        <x:v>B</x:v>
      </x:c>
      <x:c r="BJ18"/>
      <x:c r="BK18" t="str">
        <x:v>Unknown / Not Explicitly Reported in the currently accessible sources.</x:v>
      </x:c>
      <x:c r="BL18" t="str">
        <x:v>Unknown / Not Explicitly Reported in the currently accessible sources.</x:v>
      </x:c>
      <x:c r="BM18" t="str">
        <x:v>https://openalex.org/W4414683599</x:v>
      </x:c>
      <x:c r="BN18" t="str">
        <x:v>https://proceedings.neurips.cc/paper_files/paper/2025/hash/862644b156e51c35dea5a7446d640b14-Abstract-Conference.html；官方摘要/论文集元数据</x:v>
      </x:c>
      <x:c r="BO18" t="str">
        <x:v>B-Fulltext-Unavailable</x:v>
      </x:c>
      <x:c r="BP18" t="str">
        <x:v>Not Found</x:v>
      </x:c>
      <x:c r="BQ18" t="str">
        <x:v>Mostly Complete</x:v>
      </x:c>
      <x:c r="BR18" t="str">
        <x:v>Unknown</x:v>
      </x:c>
      <x:c r="BS18" t="str">
        <x:v>https://proceedings.neurips.cc/paper_files/paper/2025/file/862644b156e51c35dea5a7446d640b14-Paper-Conference.pdf</x:v>
      </x:c>
      <x:c r="BT18" t="str">
        <x:v>No</x:v>
      </x:c>
      <x:c r="BU18" t="str">
        <x:v>No</x:v>
      </x:c>
      <x:c r="BV18" t="str">
        <x:v>No</x:v>
      </x:c>
      <x:c r="BW18" t="str">
        <x:v>No</x:v>
      </x:c>
      <x:c r="BX18" t="str">
        <x:v>No</x:v>
      </x:c>
      <x:c r="BY18" t="str">
        <x:v>No</x:v>
      </x:c>
      <x:c r="BZ18" t="str">
        <x:v>No</x:v>
      </x:c>
      <x:c r="CA18" t="str">
        <x:v>Matched</x:v>
      </x:c>
      <x:c r="CB18" t="str">
        <x:v>Not Found After Verification</x:v>
      </x:c>
      <x:c r="CC18" t="str">
        <x:v>Not Found After Verification</x:v>
      </x:c>
      <x:c r="CD18" t="str">
        <x:v>Audit logged - deep extraction pending</x:v>
      </x:c>
      <x:c r="CE18" t="str">
        <x:v>false</x:v>
      </x:c>
      <x:c r="CF18"/>
      <x:c r="CG18" t="str">
        <x:v>研究问题：灵巧手操作数据和训练成本高，复杂任务还需要语义理解。；之前方法的问题：纯低层策略难从少量示范组织多步任务。；核心思路：用 VLM 提供高层任务结构和语义线索，支撑灵巧手低层操作学习。；为什么重要：展示 VLM 规划与低层动作之间的接口问题。；与当前项目的关系：Medium：双臂普通夹爪也需要高低层协作。；主要局限：仿真灵巧手结果不能直接推断双臂真机表现。</x:v>
      </x:c>
      <x:c r="CH18" t="str">
        <x:v>纯低层策略难从少量示范组织多步任务。</x:v>
      </x:c>
      <x:c r="CI18" t="str">
        <x:v>用 VLM 提供高层任务结构和语义线索，支撑灵巧手低层操作学习。</x:v>
      </x:c>
      <x:c r="CJ18"/>
      <x:c r="CK18" t="str">
        <x:v>论文报告在关节物体及语义理解仿真任务中验证方法；具体数值需查正文。</x:v>
      </x:c>
      <x:c r="CL18" t="str">
        <x:v>展示 VLM 规划与低层动作之间的接口问题。</x:v>
      </x:c>
      <x:c r="CM18" t="str">
        <x:v>仿真灵巧手结果不能直接推断双臂真机表现。</x:v>
      </x:c>
      <x:c r="CN18"/>
      <x:c r="CO18" t="str">
        <x:v>Medium：双臂普通夹爪也需要高低层协作。</x:v>
      </x:c>
      <x:c r="CP18" t="str">
        <x:v>官方摘要/论文页; https://proceedings.neurips.cc/paper_files/paper/2025/hash/862644b156e51c35dea5a7446d640b14-Abstract-Conference.html; 核验于 2026-09-23. 仅为摘要级速读；原 Evidence Quality 不变。 - 核验层级：摘要有可追溯来源</x:v>
      </x:c>
      <x:c r="CQ18" t="str">
        <x:v>doi</x:v>
      </x:c>
      <x:c r="CR18" t="n">
        <x:v>0</x:v>
      </x:c>
      <x:c r="CS18" t="n">
        <x:v>0</x:v>
      </x:c>
    </x:row>
    <x:row r="19" ht="58" customHeight="1">
      <x:c r="A19" t="str">
        <x:v>A018</x:v>
      </x:c>
      <x:c r="B19" t="str">
        <x:v>VideoVLA: Video Generators Can Be Generalizable Robot Manipulators</x:v>
      </x:c>
      <x:c r="C19" t="str">
        <x:v>Shen, Yichao; Wei, Fangyun; Du, Zhiying; Liang, Yaobo; Lu, Yan; Yang, Jiaolong; Zheng, Nanning; Guo, Baining</x:v>
      </x:c>
      <x:c r="D19" t="n">
        <x:v>2025</x:v>
      </x:c>
      <x:c r="E19" t="str">
        <x:v>NeurIPS</x:v>
      </x:c>
      <x:c r="F19" t="str">
        <x:v>A</x:v>
      </x:c>
      <x:c r="G19" t="str">
        <x:v>Official Conference Paper</x:v>
      </x:c>
      <x:c r="H19" t="str">
        <x:v>Method Paper</x:v>
      </x:c>
      <x:c r="I19" t="str">
        <x:v>A (CCF 7th edition; venue category not independently extracted from official PDF)</x:v>
      </x:c>
      <x:c r="J19" t="str">
        <x:v>VLA / Robot Foundation Models</x:v>
      </x:c>
      <x:c r="K19" t="str">
        <x:v>VLA; Video-Action Model / Generalization</x:v>
      </x:c>
      <x:c r="L19" t="e">
        <x:f>HYPERLINK("https://proceedings.neurips.cc/paper_files/paper/2025/hash/89a3b655a8b68ae1c76b768152c9c19d-Abstract-Conference.html","论文")</x:f>
        <x:v>HYPERLINK is not implemented. linkLocation=https://proceedings.neurips.cc/paper_files/paper/2025/hash/89a3b655a8b68ae1c76b768152c9c19d-Abstract-Conference.html, friendlyName=论文</x:v>
      </x:c>
      <x:c r="M19" t="e">
        <x:f>HYPERLINK("https://doi.org/10.52202/085713-3197","DOI")</x:f>
        <x:v>HYPERLINK is not implemented. linkLocation=https://doi.org/10.52202/085713-3197, friendlyName=DOI</x:v>
      </x:c>
      <x:c r="N19"/>
      <x:c r="O19" t="e">
        <x:f>HYPERLINK("https://videovla-nips2025.github.io/","Project")</x:f>
        <x:v>HYPERLINK is not implemented. linkLocation=https://videovla-nips2025.github.io/, friendlyName=Project</x:v>
      </x:c>
      <x:c r="P19" t="e">
        <x:f>HYPERLINK("https://github.com/VideoVLA-Project/VideoVLA","GitHub")</x:f>
        <x:v>HYPERLINK is not implemented. linkLocation=https://github.com/VideoVLA-Project/VideoVLA, friendlyName=GitHub</x:v>
      </x:c>
      <x:c r="Q19" t="str">
        <x:v>Partial</x:v>
      </x:c>
      <x:c r="R19" t="str">
        <x:v>Unknown</x:v>
      </x:c>
      <x:c r="S19" t="str">
        <x:v>项目页提供VideoVLA模型链接；README还要求CogVideo的T5与VAE；未下载（作者入口/说明；未验证权重文件可下载或可用性）</x:v>
      </x:c>
      <x:c r="T19" t="str">
        <x:v>README未提供完整论文训练数据准备流程</x:v>
      </x:c>
      <x:c r="U19" t="str">
        <x:v>Unknown</x:v>
      </x:c>
      <x:c r="V19" t="str">
        <x:v>Single Arm / Parallel Gripper</x:v>
      </x:c>
      <x:c r="W19" t="str">
        <x:v>Single Arm</x:v>
      </x:c>
      <x:c r="X19" t="str">
        <x:v>Parallel Gripper</x:v>
      </x:c>
      <x:c r="Y19" t="str">
        <x:v>Unknown</x:v>
      </x:c>
      <x:c r="Z19" t="str">
        <x:v>README未提供完整论文训练数据准备流程</x:v>
      </x:c>
      <x:c r="AA19" t="str">
        <x:v>Unknown</x:v>
      </x:c>
      <x:c r="AB19" t="str">
        <x:v>Unknown</x:v>
      </x:c>
      <x:c r="AC19" t="str">
        <x:v>P1</x:v>
      </x:c>
      <x:c r="AD19" t="str">
        <x:v>Official proceedings verified; CCF A via user-provided CCF 7th-edition venue mapping</x:v>
      </x:c>
      <x:c r="AE19" t="str">
        <x:v>2026-09-19</x:v>
      </x:c>
      <x:c r="AF19" t="str">
        <x:v>已查动作DiT、扩散引擎、sample_video_action.py。旧Coming soon文字在HTML注释中，不能当作当前状态；训练/机器人benchmark完整流水线本轮未确认，标Partial待运行条件复核。 Static checks only; no cloning/running or download.</x:v>
      </x:c>
      <x:c r="AG19" t="str">
        <x:v>CCF A Conference</x:v>
      </x:c>
      <x:c r="AH19" t="str">
        <x:v>Official Conference Paper</x:v>
      </x:c>
      <x:c r="AI19" t="str">
        <x:v>No</x:v>
      </x:c>
      <x:c r="AJ19" t="str">
        <x:v>02_Papers/01_VLA/VideoVLA.md</x:v>
      </x:c>
      <x:c r="AK19" t="str">
        <x:v>Strict CCF A</x:v>
      </x:c>
      <x:c r="AL19" t="str">
        <x:v>https://proceedings.neurips.cc/paper_files/paper/2025/hash/89a3b655a8b68ae1c76b768152c9c19d-Abstract-Conference.html; official abstract/proceedings metadata</x:v>
      </x:c>
      <x:c r="AM19" t="str">
        <x:v>Abstract-level</x:v>
      </x:c>
      <x:c r="AN19" t="str">
        <x:v>VLA / Robot Foundation Models</x:v>
      </x:c>
      <x:c r="AO19" t="str">
        <x:v>See canonical card Research Summary; generated only from official abstract-level evidence.</x:v>
      </x:c>
      <x:c r="AP19" t="str">
        <x:v>VLA; Video-Action Model / Generalization</x:v>
      </x:c>
      <x:c r="AQ19" t="str">
        <x:v>Real Robot=Unknown; Dataset/Benchmark/Robot Platform retain Unknown when not verified.</x:v>
      </x:c>
      <x:c r="AR19" t="str">
        <x:v>** 可用于 VLA/机器人基础模型路线对比；应重点核对动作头、训练数据与真机部署成本是否适合当前平台。</x:v>
      </x:c>
      <x:c r="AS19" t="str">
        <x:v>Project-stated CCF seventh-edition mapping; official row pending where noted</x:v>
      </x:c>
      <x:c r="AT19" t="str">
        <x:v>VLA</x:v>
      </x:c>
      <x:c r="AU19" t="n">
        <x:v>3</x:v>
      </x:c>
      <x:c r="AV19" t="str">
        <x:v>OpenAlex</x:v>
      </x:c>
      <x:c r="AW19" t="str">
        <x:v>2026-09-25</x:v>
      </x:c>
      <x:c r="AX19" t="str">
        <x:v>开放环境操作需要预见动作后果并适应新场景。</x:v>
      </x:c>
      <x:c r="AY19" t="str">
        <x:v>Unknown / Needs Full-Paper Verification</x:v>
      </x:c>
      <x:c r="AZ19" t="str">
        <x:v>以 `VLA; Video-Action Model / Generali</x:v>
      </x:c>
      <x:c r="BA19" t="str">
        <x:v>已核验摘要未明确说明；需查阅论文方法与实验章节。</x:v>
      </x:c>
      <x:c r="BB19" t="str">
        <x:v>Unknown / Needs Full-Paper Verification</x:v>
      </x:c>
      <x:c r="BC19" t="str">
        <x:v>- In this work, we present VideoVLA, a simple approach that explores the potential of transforming large video generation models into robotic VLA manipulators.</x:v>
      </x:c>
      <x:c r="BD19" t="str">
        <x:v>Real Robot 字段为 `Unknown`；Dataset、Benchmark、Robot Platform 中的 Unknown 继续保留，不从题名推断。</x:v>
      </x:c>
      <x:c r="BE19" t="str">
        <x:v>作者报告想象未来质量与动作可靠性、任务成功相关；具体数字见实验章节。</x:v>
      </x:c>
      <x:c r="BF19" t="str">
        <x:v>Unknown / Needs Full-Paper Verification</x:v>
      </x:c>
      <x:c r="BG19" t="str">
        <x:v>Library Analysis / Research Note: Unknown / Needs Full-Paper Verification</x:v>
      </x:c>
      <x:c r="BH19" t="str">
        <x:v>VLA; Video-Action Model / Generalization</x:v>
      </x:c>
      <x:c r="BI19" t="str">
        <x:v>B</x:v>
      </x:c>
      <x:c r="BJ19"/>
      <x:c r="BK19" t="str">
        <x:v>Unknown / Not Explicitly Reported in the currently accessible sources.</x:v>
      </x:c>
      <x:c r="BL19" t="str">
        <x:v>Unknown / Not Explicitly Reported in the currently accessible sources.</x:v>
      </x:c>
      <x:c r="BM19" t="str">
        <x:v>https://openalex.org/W7196952124</x:v>
      </x:c>
      <x:c r="BN19" t="str">
        <x:v>https://proceedings.neurips.cc/paper_files/paper/2025/hash/89a3b655a8b68ae1c76b768152c9c19d-Abstract-Conference.html；官方摘要/论文集元数据</x:v>
      </x:c>
      <x:c r="BO19" t="str">
        <x:v>B-Fulltext-Unavailable</x:v>
      </x:c>
      <x:c r="BP19" t="str">
        <x:v>Not Found</x:v>
      </x:c>
      <x:c r="BQ19" t="str">
        <x:v>Partial</x:v>
      </x:c>
      <x:c r="BR19" t="str">
        <x:v>Unknown</x:v>
      </x:c>
      <x:c r="BS19" t="str">
        <x:v>https://proceedings.neurips.cc/paper_files/paper/2025/file/89a3b655a8b68ae1c76b768152c9c19d-Paper-Conference.pdf</x:v>
      </x:c>
      <x:c r="BT19" t="str">
        <x:v>No</x:v>
      </x:c>
      <x:c r="BU19" t="str">
        <x:v>No</x:v>
      </x:c>
      <x:c r="BV19" t="str">
        <x:v>No</x:v>
      </x:c>
      <x:c r="BW19" t="str">
        <x:v>No</x:v>
      </x:c>
      <x:c r="BX19" t="str">
        <x:v>No</x:v>
      </x:c>
      <x:c r="BY19" t="str">
        <x:v>No</x:v>
      </x:c>
      <x:c r="BZ19" t="str">
        <x:v>No</x:v>
      </x:c>
      <x:c r="CA19" t="str">
        <x:v>Matched</x:v>
      </x:c>
      <x:c r="CB19" t="str">
        <x:v>Not Found After Verification</x:v>
      </x:c>
      <x:c r="CC19" t="str">
        <x:v>Not Found After Verification</x:v>
      </x:c>
      <x:c r="CD19" t="str">
        <x:v>Audit logged - deep extraction pending</x:v>
      </x:c>
      <x:c r="CE19" t="str">
        <x:v>false</x:v>
      </x:c>
      <x:c r="CF19"/>
      <x:c r="CG19" t="str">
        <x:v>研究问题：开放环境操作需要预见动作后果并适应新场景。；之前方法的问题：只从当前视觉预测动作，可能缺少对未来状态的理解。；核心思路：VideoVLA 将视频生成模型用于 VLA，利用想象的未来画面帮助动作选择。；主要结果：作者报告想象未来质量与动作可靠性、任务成功相关；具体数字见实验章节。；为什么重要：把世界模型式视觉预期与机器人动作生成连接起来。；与当前项目的关系：High：可用于双臂动作前预期与动作后验证。；主要局限：视频看起来合理不一定代表接触力与夹爪动作正确。</x:v>
      </x:c>
      <x:c r="CH19" t="str">
        <x:v>只从当前视觉预测动作，可能缺少对未来状态的理解。</x:v>
      </x:c>
      <x:c r="CI19" t="str">
        <x:v>VideoVLA 将视频生成模型用于 VLA，利用想象的未来画面帮助动作选择。</x:v>
      </x:c>
      <x:c r="CJ19"/>
      <x:c r="CK19" t="str">
        <x:v>作者报告想象未来质量与动作可靠性、任务成功相关；具体数字见实验章节。</x:v>
      </x:c>
      <x:c r="CL19" t="str">
        <x:v>把世界模型式视觉预期与机器人动作生成连接起来。</x:v>
      </x:c>
      <x:c r="CM19" t="str">
        <x:v>视频看起来合理不一定代表接触力与夹爪动作正确。</x:v>
      </x:c>
      <x:c r="CN19"/>
      <x:c r="CO19" t="str">
        <x:v>High：可用于双臂动作前预期与动作后验证。</x:v>
      </x:c>
      <x:c r="CP19" t="str">
        <x:v>官方摘要/论文页; https://arxiv.org/html/2512.06963; 核验于 2026-09-23. 仅为摘要级速读；原 Evidence Quality 不变。 - 核验层级：摘要有可追溯来源</x:v>
      </x:c>
      <x:c r="CQ19" t="str">
        <x:v>doi</x:v>
      </x:c>
      <x:c r="CR19" t="n">
        <x:v>6</x:v>
      </x:c>
      <x:c r="CS19" t="n">
        <x:v>1</x:v>
      </x:c>
    </x:row>
    <x:row r="20" ht="58" customHeight="1">
      <x:c r="A20" t="str">
        <x:v>A019</x:v>
      </x:c>
      <x:c r="B20" t="str">
        <x:v>DextER: Language-driven Dexterous Grasp Generation with Embodied Reasoning</x:v>
      </x:c>
      <x:c r="C20" t="str">
        <x:v>Lee, Junha; Park, Eunha; Cho, Minsu</x:v>
      </x:c>
      <x:c r="D20" t="n">
        <x:v>2026</x:v>
      </x:c>
      <x:c r="E20" t="str">
        <x:v>CVPR</x:v>
      </x:c>
      <x:c r="F20" t="str">
        <x:v>A</x:v>
      </x:c>
      <x:c r="G20" t="str">
        <x:v>Official Conference Paper</x:v>
      </x:c>
      <x:c r="H20" t="str">
        <x:v>Method Paper</x:v>
      </x:c>
      <x:c r="I20" t="str">
        <x:v>A (CCF 7th edition; venue category not independently extracted from official PDF)</x:v>
      </x:c>
      <x:c r="J20" t="str">
        <x:v>Dexterous Hand / Dexterous Manipulation</x:v>
      </x:c>
      <x:c r="K20" t="str">
        <x:v>Dexterous Hand; Contact Reasoning / Language-guided Grasp</x:v>
      </x:c>
      <x:c r="L20" t="e">
        <x:f>HYPERLINK("https://openaccess.thecvf.com/content/CVPR2026/html/Lee_DextER_Language-driven_Dexterous_Grasp_Generation_with_Embodied_Reasoning_CVPR_2026_paper.html","论文")</x:f>
        <x:v>HYPERLINK is not implemented. linkLocation=https://openaccess.thecvf.com/content/CVPR2026/html/Lee_DextER_Language-driven_Dexterous_Grasp_Generation_with_Embodied_Reasoning_CVPR_2026_paper.html, friendlyName=论文</x:v>
      </x:c>
      <x:c r="M20" t="str">
        <x:v>Unknown</x:v>
      </x:c>
      <x:c r="N20"/>
      <x:c r="O20" t="e">
        <x:f>HYPERLINK("https://junha-l.github.io/dexter/","Project")</x:f>
        <x:v>HYPERLINK is not implemented. linkLocation=https://junha-l.github.io/dexter/, friendlyName=Project</x:v>
      </x:c>
      <x:c r="P20" t="e">
        <x:f>HYPERLINK("https://github.com/junha-l/dexter","GitHub")</x:f>
        <x:v>HYPERLINK is not implemented. linkLocation=https://github.com/junha-l/dexter, friendlyName=GitHub</x:v>
      </x:c>
      <x:c r="Q20" t="str">
        <x:v>Released</x:v>
      </x:c>
      <x:c r="R20" t="str">
        <x:v>Unknown</x:v>
      </x:c>
      <x:c r="S20" t="str">
        <x:v>https://huggingface.co/junhalee/dexter-qwen2.5-0.5B-dexgys（作者入口/说明；未验证权重文件可下载或可用性）</x:v>
      </x:c>
      <x:c r="T20" t="str">
        <x:v>作者提供预处理数据：https://huggingface.co/datasets/EunhaPark/project_dexter；未下载</x:v>
      </x:c>
      <x:c r="U20" t="str">
        <x:v>Unknown</x:v>
      </x:c>
      <x:c r="V20" t="str">
        <x:v>Dexterous Hand</x:v>
      </x:c>
      <x:c r="W20" t="str">
        <x:v>Unknown</x:v>
      </x:c>
      <x:c r="X20" t="str">
        <x:v>Dexterous Hand</x:v>
      </x:c>
      <x:c r="Y20" t="str">
        <x:v>Unknown</x:v>
      </x:c>
      <x:c r="Z20" t="str">
        <x:v>作者提供预处理数据：https://huggingface.co/datasets/EunhaPark/project_dexter；未下载</x:v>
      </x:c>
      <x:c r="AA20" t="str">
        <x:v>Unknown</x:v>
      </x:c>
      <x:c r="AB20" t="str">
        <x:v>Unknown</x:v>
      </x:c>
      <x:c r="AC20" t="str">
        <x:v>P0</x:v>
      </x:c>
      <x:c r="AD20" t="str">
        <x:v>Official proceedings verified; CCF A via user-provided CCF 7th-edition venue mapping</x:v>
      </x:c>
      <x:c r="AE20" t="str">
        <x:v>2026-09-19</x:v>
      </x:c>
      <x:c r="AF20" t="str">
        <x:v>CVF页面直接访问成功；已查核心模型、训练和测试实现。数据说明有2026-07-22修正，后续应使用修正版数据。 Static checks only; no cloning/running or download.</x:v>
      </x:c>
      <x:c r="AG20" t="str">
        <x:v>CCF A Conference</x:v>
      </x:c>
      <x:c r="AH20" t="str">
        <x:v>Official Conference Paper</x:v>
      </x:c>
      <x:c r="AI20" t="str">
        <x:v>No</x:v>
      </x:c>
      <x:c r="AJ20" t="str">
        <x:v>02_Papers/04_Dexterous/DextER.md</x:v>
      </x:c>
      <x:c r="AK20" t="str">
        <x:v>Strict CCF A</x:v>
      </x:c>
      <x:c r="AL20" t="str">
        <x:v>https://openaccess.thecvf.com/content/CVPR2026/html/Lee_DextER_Language-driven_Dexterous_Grasp_Generation_with_Embodied_Reasoning_CVPR_2026_paper.html; official abstract/proceedings metadata</x:v>
      </x:c>
      <x:c r="AM20" t="str">
        <x:v>Abstract-level</x:v>
      </x:c>
      <x:c r="AN20" t="str">
        <x:v>Dexterous Hand / Dexterous Manipulation</x:v>
      </x:c>
      <x:c r="AO20" t="str">
        <x:v>See canonical card Research Summary; generated only from official abstract-level evidence.</x:v>
      </x:c>
      <x:c r="AP20" t="str">
        <x:v>Dexterous Hand; Contact Reasoning / Language-guided Grasp</x:v>
      </x:c>
      <x:c r="AQ20" t="str">
        <x:v>Real Robot=Unknown; Dataset/Benchmark/Robot Platform retain Unknown when not verified.</x:v>
      </x:c>
      <x:c r="AR20" t="str">
        <x:v>** 对灵巧操作扩展有参考价值；当前普通夹爪主线需区分可迁移的学习方法与依赖多指硬件的部分。</x:v>
      </x:c>
      <x:c r="AS20" t="str">
        <x:v>Project-stated CCF seventh-edition mapping; official row pending where noted</x:v>
      </x:c>
      <x:c r="AT20" t="str">
        <x:v>Dexterous</x:v>
      </x:c>
      <x:c r="AU20" t="n">
        <x:v>0</x:v>
      </x:c>
      <x:c r="AV20" t="str">
        <x:v>OpenAlex</x:v>
      </x:c>
      <x:c r="AW20" t="str">
        <x:v>2026-09-25</x:v>
      </x:c>
      <x:c r="AX20" t="str">
        <x:v>语言驱动的灵巧抓取要同时理解任务语义、三维几何和接触关系。</x:v>
      </x:c>
      <x:c r="AY20" t="str">
        <x:v>Unknown / Needs Full-Paper Verification</x:v>
      </x:c>
      <x:c r="AZ20" t="str">
        <x:v>以 `Dexterous Hand; Contact Reasoning / Language-guided Grasp` 为主要方法/能力线索；更细的结构和消融结论待正文核验。</x:v>
      </x:c>
      <x:c r="BA20" t="str">
        <x:v>DexGYS。</x:v>
      </x:c>
      <x:c r="BB20" t="str">
        <x:v>Unknown / Needs Full-Paper Verification</x:v>
      </x:c>
      <x:c r="BC20" t="str">
        <x:v>- We present DextER, Dexterous Grasp Generation with Embodied Reasoning, which introduces contact-based embodied reasoning for multi-finger manipulation.</x:v>
      </x:c>
      <x:c r="BD20" t="str">
        <x:v>Real Robot 字段为 `Unknown`；Dataset、Benchmark、Robot Platform 中的 Unknown 继续保留，不从题名推断。</x:v>
      </x:c>
      <x:c r="BE20" t="str">
        <x:v>Unknown / Needs Full-Paper Verification</x:v>
      </x:c>
      <x:c r="BF20" t="str">
        <x:v>Unknown / Needs Full-Paper Verification</x:v>
      </x:c>
      <x:c r="BG20" t="str">
        <x:v>Library Analysis / Research Note: Unknown / Needs Full-Paper Verification</x:v>
      </x:c>
      <x:c r="BH20" t="str">
        <x:v>Dexterous Hand; Contact Reasoning / Language-guided Grasp</x:v>
      </x:c>
      <x:c r="BI20" t="str">
        <x:v>B</x:v>
      </x:c>
      <x:c r="BJ20"/>
      <x:c r="BK20" t="str">
        <x:v>Unknown / Not Explicitly Reported in the currently accessible sources.</x:v>
      </x:c>
      <x:c r="BL20" t="str">
        <x:v>Unknown / Not Explicitly Reported in the currently accessible sources.</x:v>
      </x:c>
      <x:c r="BM20" t="str">
        <x:v>https://openalex.org/W7125566978</x:v>
      </x:c>
      <x:c r="BN20" t="str">
        <x:v>https://openaccess.thecvf.com/content/CVPR2026/html/Lee_DextER_Language-driven_Dexterous_Grasp_Generation_with_Embodied_Reasoning_CVPR_2026_paper.html；官方摘要/论文集元数据</x:v>
      </x:c>
      <x:c r="BO20" t="str">
        <x:v>B-Fulltext-Unavailable</x:v>
      </x:c>
      <x:c r="BP20" t="str">
        <x:v>Not Found</x:v>
      </x:c>
      <x:c r="BQ20" t="str">
        <x:v>Mostly Complete</x:v>
      </x:c>
      <x:c r="BR20" t="str">
        <x:v>Unknown</x:v>
      </x:c>
      <x:c r="BS20" t="str">
        <x:v>https://openaccess.thecvf.com/content/CVPR2026/papers/Lee_DextER_Language-driven_Dexterous_Grasp_Generation_with_Embodied_Reasoning_CVPR_2026_paper.pdf</x:v>
      </x:c>
      <x:c r="BT20" t="str">
        <x:v>No</x:v>
      </x:c>
      <x:c r="BU20" t="str">
        <x:v>No</x:v>
      </x:c>
      <x:c r="BV20" t="str">
        <x:v>No</x:v>
      </x:c>
      <x:c r="BW20" t="str">
        <x:v>No</x:v>
      </x:c>
      <x:c r="BX20" t="str">
        <x:v>No</x:v>
      </x:c>
      <x:c r="BY20" t="str">
        <x:v>No</x:v>
      </x:c>
      <x:c r="BZ20" t="str">
        <x:v>No</x:v>
      </x:c>
      <x:c r="CA20" t="str">
        <x:v>Matched</x:v>
      </x:c>
      <x:c r="CB20" t="str">
        <x:v>Not Found After Verification</x:v>
      </x:c>
      <x:c r="CC20" t="str">
        <x:v>Not Found After Verification</x:v>
      </x:c>
      <x:c r="CD20" t="str">
        <x:v>Audit logged - deep extraction pending</x:v>
      </x:c>
      <x:c r="CE20" t="str">
        <x:v>false</x:v>
      </x:c>
      <x:c r="CF20"/>
      <x:c r="CG20" t="str">
        <x:v>研究问题：语言驱动的灵巧抓取要同时理解任务语义、三维几何和接触关系。；之前方法的问题：只预测抓取位姿未必符合语言中隐含的使用目的。；核心思路：DextER 在抓取生成中加入基于接触的具身推理，使手部接触与任务意图对齐。；数据集与评测基准：DexGYS。；为什么重要：将语言 Grounding 与可执行接触联系起来。；与当前项目的关系：Medium：普通夹爪也需要意图对齐，但手部接触自由度不同。；主要局限：从多指接触迁移到两只普通夹爪需重新定义动作空间。</x:v>
      </x:c>
      <x:c r="CH20" t="str">
        <x:v>只预测抓取位姿未必符合语言中隐含的使用目的。</x:v>
      </x:c>
      <x:c r="CI20" t="str">
        <x:v>DextER 在抓取生成中加入基于接触的具身推理，使手部接触与任务意图对齐。</x:v>
      </x:c>
      <x:c r="CJ20"/>
      <x:c r="CK20" t="str">
        <x:v>卡片记录 DexGYS 成功率 67.14%，较所比较 SOTA 高 3.83 个百分点。</x:v>
      </x:c>
      <x:c r="CL20" t="str">
        <x:v>将语言 Grounding 与可执行接触联系起来。</x:v>
      </x:c>
      <x:c r="CM20" t="str">
        <x:v>从多指接触迁移到两只普通夹爪需重新定义动作空间。</x:v>
      </x:c>
      <x:c r="CN20"/>
      <x:c r="CO20" t="str">
        <x:v>Medium：普通夹爪也需要意图对齐，但手部接触自由度不同。</x:v>
      </x:c>
      <x:c r="CP20" t="str">
        <x:v>官方摘要/论文页; https://openaccess.thecvf.com/content/CVPR2026/html/Lee_DextER_Language-driven_Dexterous_Grasp_Generation_with_Embodied_Reasoning_CVPR_2026_paper.html; 核验于 2026-09-23. 仅为摘要级速读；原 Evidence Quality 不变。 - 核验层级：摘要有可追溯来源</x:v>
      </x:c>
      <x:c r="CQ20" t="str">
        <x:v>title</x:v>
      </x:c>
      <x:c r="CR20" t="n">
        <x:v>0</x:v>
      </x:c>
      <x:c r="CS20" t="n">
        <x:v>0</x:v>
      </x:c>
    </x:row>
    <x:row r="21" ht="58" customHeight="1">
      <x:c r="A21" t="str">
        <x:v>A020</x:v>
      </x:c>
      <x:c r="B21" t="str">
        <x:v>ManipLLM: Embodied Multimodal Large Language Model for Object-Centric Robotic Manipulation</x:v>
      </x:c>
      <x:c r="C21" t="str">
        <x:v>Li, Xiaoqi; Zhang, Mingxu; Geng, Yiran; Geng, Haoran; Long, Yuxing; Shen, Yan; Zhang, Renrui; Liu, Jiaming; Dong, Hao</x:v>
      </x:c>
      <x:c r="D21" t="n">
        <x:v>2024</x:v>
      </x:c>
      <x:c r="E21" t="str">
        <x:v>CVPR</x:v>
      </x:c>
      <x:c r="F21" t="str">
        <x:v>A</x:v>
      </x:c>
      <x:c r="G21" t="str">
        <x:v>Official Conference Paper</x:v>
      </x:c>
      <x:c r="H21" t="str">
        <x:v>Method Paper</x:v>
      </x:c>
      <x:c r="I21" t="str">
        <x:v>Robot Manipulation</x:v>
      </x:c>
      <x:c r="J21" t="str">
        <x:v>Multimodal / Generalization</x:v>
      </x:c>
      <x:c r="K21" t="str">
        <x:v>Multimodal / Generalization</x:v>
      </x:c>
      <x:c r="L21" t="e">
        <x:f>HYPERLINK("https://openaccess.thecvf.com/content/CVPR2024/html/Li_ManipLLM_Embodied_Multimodal_Large_Language_Model_for_Object-Centric_Robotic_Manipulation_CVPR_2024_paper.html","论文")</x:f>
        <x:v>HYPERLINK is not implemented. linkLocation=https://openaccess.thecvf.com/content/CVPR2024/html/Li_ManipLLM_Embodied_Multimodal_Large_Language_Model_for_Object-Centric_Robotic_Manipulation_CVPR_2024_paper.html, friendlyName=论文</x:v>
      </x:c>
      <x:c r="M21" t="str">
        <x:v>Unknown</x:v>
      </x:c>
      <x:c r="N21" t="str">
        <x:v>Unknown</x:v>
      </x:c>
      <x:c r="O21" t="e">
        <x:f>HYPERLINK("https://sites.google.com/view/manipllm","Project")</x:f>
        <x:v>HYPERLINK is not implemented. linkLocation=https://sites.google.com/view/manipllm, friendlyName=Project</x:v>
      </x:c>
      <x:c r="P21" t="e">
        <x:f>HYPERLINK("https://github.com/clorislili/ManipLLM","GitHub")</x:f>
        <x:v>HYPERLINK is not implemented. linkLocation=https://github.com/clorislili/ManipLLM, friendlyName=GitHub</x:v>
      </x:c>
      <x:c r="Q21" t="str">
        <x:v>Partial</x:v>
      </x:c>
      <x:c r="R21" t="str">
        <x:v>Unknown</x:v>
      </x:c>
      <x:c r="S21" t="str">
        <x:v>Unknown</x:v>
      </x:c>
      <x:c r="T21" t="str">
        <x:v>Unknown</x:v>
      </x:c>
      <x:c r="U21" t="str">
        <x:v>Unknown</x:v>
      </x:c>
      <x:c r="V21" t="str">
        <x:v>Single Arm / Parallel Gripper</x:v>
      </x:c>
      <x:c r="W21" t="str">
        <x:v>Single Arm</x:v>
      </x:c>
      <x:c r="X21" t="str">
        <x:v>Parallel Gripper</x:v>
      </x:c>
      <x:c r="Y21" t="str">
        <x:v>Yes</x:v>
      </x:c>
      <x:c r="Z21" t="str">
        <x:v>Unknown</x:v>
      </x:c>
      <x:c r="AA21" t="str">
        <x:v>Unknown</x:v>
      </x:c>
      <x:c r="AB21" t="str">
        <x:v>Unknown</x:v>
      </x:c>
      <x:c r="AC21" t="str">
        <x:v>P0</x:v>
      </x:c>
      <x:c r="AD21" t="str">
        <x:v>Official proceedings verified; CCF A via user-provided CCF 7th-edition venue mapping</x:v>
      </x:c>
      <x:c r="AE21" t="str">
        <x:v>2026-09-19</x:v>
      </x:c>
      <x:c r="AF21" t="str">
        <x:v>Formal main-conference record verified from official proceedings; metadata not inferred beyond available source evidence.</x:v>
      </x:c>
      <x:c r="AG21" t="str">
        <x:v>CCF A Conference</x:v>
      </x:c>
      <x:c r="AH21" t="str">
        <x:v>Official Conference Paper</x:v>
      </x:c>
      <x:c r="AI21" t="str">
        <x:v>No</x:v>
      </x:c>
      <x:c r="AJ21" t="str">
        <x:v>02_Papers/02_Robot_Manipulation/ManipLLM.md</x:v>
      </x:c>
      <x:c r="AK21" t="str">
        <x:v>Strict CCF A</x:v>
      </x:c>
      <x:c r="AL21" t="str">
        <x:v>https://openaccess.thecvf.com/content/CVPR2024/html/Li_ManipLLM_Embodied_Multimodal_Large_Language_Model_for_Object-Centric_Robotic_Manipulation_CVPR_2024_paper.html; official abstract/proceedings metadata</x:v>
      </x:c>
      <x:c r="AM21" t="str">
        <x:v>Abstract-level</x:v>
      </x:c>
      <x:c r="AN21" t="str">
        <x:v>Multimodal / Generalization</x:v>
      </x:c>
      <x:c r="AO21" t="str">
        <x:v>See canonical card Research Summary; generated only from official abstract-level evidence.</x:v>
      </x:c>
      <x:c r="AP21" t="str">
        <x:v>Multimodal / Generalization</x:v>
      </x:c>
      <x:c r="AQ21" t="str">
        <x:v>Real Robot=Yes; Dataset/Benchmark/Robot Platform retain Unknown when not verified.</x:v>
      </x:c>
      <x:c r="AR21" t="str">
        <x:v>** 与机器人操作、模仿学习或策略泛化相关；是否进入 L2/L3 取决于与双臂普通夹爪平台的可迁移性。</x:v>
      </x:c>
      <x:c r="AS21" t="str">
        <x:v>Project-stated CCF seventh-edition mapping; official row pending where noted</x:v>
      </x:c>
      <x:c r="AT21" t="str">
        <x:v>Robot Manipulation</x:v>
      </x:c>
      <x:c r="AU21" t="n">
        <x:v>82</x:v>
      </x:c>
      <x:c r="AV21" t="str">
        <x:v>OpenAlex</x:v>
      </x:c>
      <x:c r="AW21" t="str">
        <x:v>2026-09-25</x:v>
      </x:c>
      <x:c r="AX21" t="str">
        <x:v>多模态大模型能理解图像和语言，但不一定能给出可执行的接触点与夹爪姿态。</x:v>
      </x:c>
      <x:c r="AY21" t="str">
        <x:v>Unknown / Needs Full-Paper Verification</x:v>
      </x:c>
      <x:c r="AZ21" t="str">
        <x:v>以 `Multimodal / Generali</x:v>
      </x:c>
      <x:c r="BA21" t="str">
        <x:v>论文中的物体操作任务与消融设置；具体数据集名称见原卡实验部分。</x:v>
      </x:c>
      <x:c r="BB21" t="str">
        <x:v>Unknown / Needs Full-Paper Verification</x:v>
      </x:c>
      <x:c r="BC21" t="str">
        <x:v>- Therefore we introduce an innovative approach for robot manipulation that leverages the robust reasoning capabilities of Multimodal Large Language Models (MLLMs) to enhance the stability and generali</x:v>
      </x:c>
      <x:c r="BD21" t="str">
        <x:v>Real Robot 字段为 `Yes`；Dataset、Benchmark、Robot Platform 中的 Unknown 继续保留，不从题名推断。</x:v>
      </x:c>
      <x:c r="BE21" t="str">
        <x:v>Unknown / Needs Full-Paper Verification</x:v>
      </x:c>
      <x:c r="BF21" t="str">
        <x:v>Unknown / Needs Full-Paper Verification</x:v>
      </x:c>
      <x:c r="BG21" t="str">
        <x:v>Library Analysis / Research Note: Unknown / Needs Full-Paper Verification</x:v>
      </x:c>
      <x:c r="BH21" t="str">
        <x:v>Multimodal / Generalization</x:v>
      </x:c>
      <x:c r="BI21" t="str">
        <x:v>A</x:v>
      </x:c>
      <x:c r="BJ21" t="str">
        <x:v>Idea Clue 1: adapt affordance-prior reasoning and active impedance correction to ordinary-gripper bimanual contact tasks. Evidence: APR and AIA ablation gains plus explicit hardware failure cases. Why relevant: actionable path for current real-robot manipulation.</x:v>
      </x:c>
      <x:c r="BK21" t="str">
        <x:v>Reported ablations isolate OCI, MLM, APR, COT and AIA; APR is the largest training-task gain in the cited ablation sequence.</x:v>
      </x:c>
      <x:c r="BL21" t="str">
        <x:v>Position predictions are sensitive to lighting and texture domain gaps; suction cannot grasp non-smooth handles and short gripper geometry can cause collisions.</x:v>
      </x:c>
      <x:c r="BM21" t="str">
        <x:v>https://openalex.org/W4402727730</x:v>
      </x:c>
      <x:c r="BN21" t="str">
        <x:v>https://openaccess.thecvf.com/content/CVPR2024/html/Li_ManipLLM_Embodied_Multimodal_Large_Language_Model_for_Object-Centric_Robotic_Manipulation_CVPR_2024_paper.html；官方摘要/论文集元数据</x:v>
      </x:c>
      <x:c r="BO21" t="str">
        <x:v>A-Upgraded</x:v>
      </x:c>
      <x:c r="BP21" t="str">
        <x:v>Available - Verified</x:v>
      </x:c>
      <x:c r="BQ21" t="str">
        <x:v>Partial</x:v>
      </x:c>
      <x:c r="BR21" t="str">
        <x:v>Unknown</x:v>
      </x:c>
      <x:c r="BS21" t="str">
        <x:v>https://openaccess.thecvf.com/content/CVPR2024/papers/Li_ManipLLM_Embodied_Multimodal_Large_Language_Model_for_Object-Centric_Robotic_Manipulation_CVPR_2024_paper.pdf</x:v>
      </x:c>
      <x:c r="BT21" t="str">
        <x:v>No</x:v>
      </x:c>
      <x:c r="BU21" t="str">
        <x:v>No</x:v>
      </x:c>
      <x:c r="BV21" t="str">
        <x:v>No</x:v>
      </x:c>
      <x:c r="BW21" t="str">
        <x:v>No</x:v>
      </x:c>
      <x:c r="BX21" t="str">
        <x:v>No</x:v>
      </x:c>
      <x:c r="BY21" t="str">
        <x:v>No</x:v>
      </x:c>
      <x:c r="BZ21" t="str">
        <x:v>No</x:v>
      </x:c>
      <x:c r="CA21" t="str">
        <x:v>Matched</x:v>
      </x:c>
      <x:c r="CB21" t="str">
        <x:v>Not Found After Verification</x:v>
      </x:c>
      <x:c r="CC21" t="str">
        <x:v>Not Found After Verification</x:v>
      </x:c>
      <x:c r="CD21" t="str">
        <x:v>Audit logged - deep extraction pending</x:v>
      </x:c>
      <x:c r="CE21" t="str">
        <x:v>false</x:v>
      </x:c>
      <x:c r="CF21"/>
      <x:c r="CG21" t="str">
        <x:v>研究问题：多模态大模型能理解图像和语言，但不一定能给出可执行的接触点与夹爪姿态。；之前方法的问题：物体级 Grounding 与精确接触几何没有自然地从语言推理转成机器人动作。；核心思路：ManipLLM 结合物体类别识别、affordance 推理和位姿微调，预测接触点与夹爪朝向，并通过分步推理和主动交互改进执行。；输入：物体视觉信息与操作指令；具体相机和状态接口见论文方法。；输出与动作：接触点、夹爪朝向及后续操作位姿。；数据集与评测基准：论文中的物体操作任务与消融设置；具体数据集名称见原卡实验部分。；为什么重要：让语言推理落到普通夹爪可执行的接触几何上。；与当前项目的关系：High：直接对应夹爪接触点、动作前可行性验证和真机操作。；主要局限：作者指出视觉位置预测仍受域变化影响；特定吸盘硬件约束需要测试时适配。</x:v>
      </x:c>
      <x:c r="CH21" t="str">
        <x:v>物体级 Grounding 与精确接触几何没有自然地从语言推理转成机器人动作。</x:v>
      </x:c>
      <x:c r="CI21" t="str">
        <x:v>ManipLLM 结合物体类别识别、affordance 推理和位姿微调，预测接触点与夹爪朝向，并通过分步推理和主动交互改进执行。</x:v>
      </x:c>
      <x:c r="CJ21" t="str">
        <x:v>Ablations compare FT, OCI, MLM, APR, COT and AIA components; the paper also compares manipulation performance against prior object-centric methods.</x:v>
      </x:c>
      <x:c r="CK21" t="str">
        <x:v>卡片记录消融平均指标从仅 FT 的 0.41 提升到完整方法的 0.59；各模块贡献见原卡 Main Results。</x:v>
      </x:c>
      <x:c r="CL21" t="str">
        <x:v>让语言推理落到普通夹爪可执行的接触几何上。</x:v>
      </x:c>
      <x:c r="CM21" t="str">
        <x:v>作者指出视觉位置预测仍受域变化影响；特定吸盘硬件约束需要测试时适配。</x:v>
      </x:c>
      <x:c r="CN21" t="str">
        <x:v>Library Analysis: broader gripper geometries, bimanual coordination and long-horizon recovery are outside the demonstrated setup.</x:v>
      </x:c>
      <x:c r="CO21" t="str">
        <x:v>High：直接对应夹爪接触点、动作前可行性验证和真机操作。</x:v>
      </x:c>
      <x:c r="CP21" t="str">
        <x:v>官方摘要/论文页; https://arxiv.org/html/2312.16217; 核验于 2026-09-23. 仅为摘要级速读；原 Evidence Quality 不变。 - 核验层级：摘要有可追溯来源</x:v>
      </x:c>
      <x:c r="CQ21" t="str">
        <x:v>title</x:v>
      </x:c>
      <x:c r="CR21" t="n">
        <x:v>0</x:v>
      </x:c>
      <x:c r="CS21" t="n">
        <x:v>6</x:v>
      </x:c>
    </x:row>
    <x:row r="22" ht="58" customHeight="1">
      <x:c r="A22" t="str">
        <x:v>A021</x:v>
      </x:c>
      <x:c r="B22" t="str">
        <x:v>ManipTrans: Efficient Dexterous Bimanual Manipulation Transfer via Residual Learning</x:v>
      </x:c>
      <x:c r="C22" t="str">
        <x:v>Li, Kailin; Li, Puhao; Liu, Tengyu; Li, Yuyang; Huang, Siyuan</x:v>
      </x:c>
      <x:c r="D22" t="n">
        <x:v>2025</x:v>
      </x:c>
      <x:c r="E22" t="str">
        <x:v>CVPR</x:v>
      </x:c>
      <x:c r="F22" t="str">
        <x:v>A</x:v>
      </x:c>
      <x:c r="G22" t="str">
        <x:v>Official Conference Paper</x:v>
      </x:c>
      <x:c r="H22" t="str">
        <x:v>Method Paper</x:v>
      </x:c>
      <x:c r="I22" t="str">
        <x:v>Bimanual Manipulation; Dexterous Manipulation</x:v>
      </x:c>
      <x:c r="J22" t="str">
        <x:v>Residual Learning / Sim-to-Real</x:v>
      </x:c>
      <x:c r="K22" t="str">
        <x:v>Residual Learning / Sim-to-Real</x:v>
      </x:c>
      <x:c r="L22" t="e">
        <x:f>HYPERLINK("https://openaccess.thecvf.com/content/CVPR2025/html/Li_ManipTrans_Efficient_Dexterous_Bimanual_Manipulation_Transfer_via_Residual_Learning_CVPR_2025_paper.html","论文")</x:f>
        <x:v>HYPERLINK is not implemented. linkLocation=https://openaccess.thecvf.com/content/CVPR2025/html/Li_ManipTrans_Efficient_Dexterous_Bimanual_Manipulation_Transfer_via_Residual_Learning_CVPR_2025_paper.html, friendlyName=论文</x:v>
      </x:c>
      <x:c r="M22" t="str">
        <x:v>Unknown</x:v>
      </x:c>
      <x:c r="N22" t="str">
        <x:v>Unknown</x:v>
      </x:c>
      <x:c r="O22" t="e">
        <x:f>HYPERLINK("https://maniptrans.github.io/","Project")</x:f>
        <x:v>HYPERLINK is not implemented. linkLocation=https://maniptrans.github.io/, friendlyName=Project</x:v>
      </x:c>
      <x:c r="P22" t="e">
        <x:f>HYPERLINK("https://github.com/ManipTrans/ManipTrans","GitHub")</x:f>
        <x:v>HYPERLINK is not implemented. linkLocation=https://github.com/ManipTrans/ManipTrans, friendlyName=GitHub</x:v>
      </x:c>
      <x:c r="Q22" t="str">
        <x:v>Released</x:v>
      </x:c>
      <x:c r="R22" t="str">
        <x:v>Unknown</x:v>
      </x:c>
      <x:c r="S22" t="str">
        <x:v>Unknown</x:v>
      </x:c>
      <x:c r="T22" t="str">
        <x:v>Unknown</x:v>
      </x:c>
      <x:c r="U22" t="str">
        <x:v>Unknown</x:v>
      </x:c>
      <x:c r="V22" t="str">
        <x:v>Bimanual / Dexterous Hand</x:v>
      </x:c>
      <x:c r="W22" t="str">
        <x:v>Bimanual</x:v>
      </x:c>
      <x:c r="X22" t="str">
        <x:v>Dexterous Hand</x:v>
      </x:c>
      <x:c r="Y22" t="str">
        <x:v>Unknown</x:v>
      </x:c>
      <x:c r="Z22" t="str">
        <x:v>Unknown</x:v>
      </x:c>
      <x:c r="AA22" t="str">
        <x:v>Unknown</x:v>
      </x:c>
      <x:c r="AB22" t="str">
        <x:v>Unknown</x:v>
      </x:c>
      <x:c r="AC22" t="str">
        <x:v>P0</x:v>
      </x:c>
      <x:c r="AD22" t="str">
        <x:v>Official proceedings verified; CCF A via user-provided CCF 7th-edition venue mapping</x:v>
      </x:c>
      <x:c r="AE22" t="str">
        <x:v>2026-09-19</x:v>
      </x:c>
      <x:c r="AF22" t="str">
        <x:v>Formal main-conference record verified from official proceedings; metadata not inferred beyond available source evidence.</x:v>
      </x:c>
      <x:c r="AG22" t="str">
        <x:v>CCF A Conference</x:v>
      </x:c>
      <x:c r="AH22" t="str">
        <x:v>Official Conference Paper</x:v>
      </x:c>
      <x:c r="AI22" t="str">
        <x:v>No</x:v>
      </x:c>
      <x:c r="AJ22" t="str">
        <x:v>02_Papers/03_Bimanual/ManipTrans.md</x:v>
      </x:c>
      <x:c r="AK22" t="str">
        <x:v>Strict CCF A</x:v>
      </x:c>
      <x:c r="AL22" t="str">
        <x:v>https://openaccess.thecvf.com/content/CVPR2025/html/Li_ManipTrans_Efficient_Dexterous_Bimanual_Manipulation_Transfer_via_Residual_Learning_CVPR_2025_paper.html; official abstract/proceedings metadata</x:v>
      </x:c>
      <x:c r="AM22" t="str">
        <x:v>Abstract-level</x:v>
      </x:c>
      <x:c r="AN22" t="str">
        <x:v>Residual Learning / Sim-to-Real</x:v>
      </x:c>
      <x:c r="AO22" t="str">
        <x:v>See canonical card Research Summary; generated only from official abstract-level evidence.</x:v>
      </x:c>
      <x:c r="AP22" t="str">
        <x:v>Residual Learning / Sim-to-Real</x:v>
      </x:c>
      <x:c r="AQ22" t="str">
        <x:v>Real Robot=Unknown; Dataset/Benchmark/Robot Platform retain Unknown when not verified.</x:v>
      </x:c>
      <x:c r="AR22" t="str">
        <x:v>** 与 NERO 双臂、普通夹爪、示范采集和双臂策略学习直接相关，优先评估动作表示与协同控制是否可迁移。</x:v>
      </x:c>
      <x:c r="AS22" t="str">
        <x:v>Project-stated CCF seventh-edition mapping; official row pending where noted</x:v>
      </x:c>
      <x:c r="AT22" t="str">
        <x:v>Bimanual</x:v>
      </x:c>
      <x:c r="AU22" t="n">
        <x:v>13</x:v>
      </x:c>
      <x:c r="AV22" t="str">
        <x:v>OpenAlex</x:v>
      </x:c>
      <x:c r="AW22" t="str">
        <x:v>2026-09-25</x:v>
      </x:c>
      <x:c r="AX22" t="str">
        <x:v>人类双手操作能力丰富，但难以直接迁移到机器人灵巧手。</x:v>
      </x:c>
      <x:c r="AY22" t="str">
        <x:v>Unknown / Needs Full-Paper Verification</x:v>
      </x:c>
      <x:c r="AZ22" t="str">
        <x:v>以 `Residual Learning / Sim-to-Real` 为主要方法/能力线索；更细的结构和消融结论待正文核验。</x:v>
      </x:c>
      <x:c r="BA22" t="str">
        <x:v>双手灵巧操作仿真任务；详细任务和基线见论文。</x:v>
      </x:c>
      <x:c r="BB22" t="str">
        <x:v>Unknown / Needs Full-Paper Verification</x:v>
      </x:c>
      <x:c r="BC22" t="str">
        <x:v>- To address this, we introduce ManipTrans, a novel two-stage method for efficiently transferring human bimanual skills to dexterous robotic hands in simulation.</x:v>
      </x:c>
      <x:c r="BD22" t="str">
        <x:v>Real Robot 字段为 `Unknown`；Dataset、Benchmark、Robot Platform 中的 Unknown 继续保留，不从题名推断。</x:v>
      </x:c>
      <x:c r="BE22" t="str">
        <x:v>作者报告成功率、动作保真度与训练效率优于所比较方法；摘要未给统一数字。</x:v>
      </x:c>
      <x:c r="BF22" t="str">
        <x:v>Unknown / Needs Full-Paper Verification</x:v>
      </x:c>
      <x:c r="BG22" t="str">
        <x:v>Library Analysis / Research Note: Unknown / Needs Full-Paper Verification</x:v>
      </x:c>
      <x:c r="BH22" t="str">
        <x:v>Residual Learning / Sim-to-Real</x:v>
      </x:c>
      <x:c r="BI22" t="str">
        <x:v>B</x:v>
      </x:c>
      <x:c r="BJ22"/>
      <x:c r="BK22" t="str">
        <x:v>Unknown / Not Explicitly Reported in the currently accessible sources.</x:v>
      </x:c>
      <x:c r="BL22" t="str">
        <x:v>Unknown / Not Explicitly Reported in the currently accessible sources.</x:v>
      </x:c>
      <x:c r="BM22" t="str">
        <x:v>https://openalex.org/W4413145126</x:v>
      </x:c>
      <x:c r="BN22" t="str">
        <x:v>https://openaccess.thecvf.com/content/CVPR2025/html/Li_ManipTrans_Efficient_Dexterous_Bimanual_Manipulation_Transfer_via_Residual_Learning_CVPR_2025_paper.html；官方摘要/论文集元数据</x:v>
      </x:c>
      <x:c r="BO22" t="str">
        <x:v>B-Fulltext-Unavailable</x:v>
      </x:c>
      <x:c r="BP22" t="str">
        <x:v>Not Found</x:v>
      </x:c>
      <x:c r="BQ22" t="str">
        <x:v>Mostly Complete</x:v>
      </x:c>
      <x:c r="BR22" t="str">
        <x:v>Unknown</x:v>
      </x:c>
      <x:c r="BS22" t="str">
        <x:v>https://openaccess.thecvf.com/content/CVPR2025/papers/Li_ManipTrans_Efficient_Dexterous_Bimanual_Manipulation_Transfer_via_Residual_Learning_CVPR_2025_paper.pdf</x:v>
      </x:c>
      <x:c r="BT22" t="str">
        <x:v>No</x:v>
      </x:c>
      <x:c r="BU22" t="str">
        <x:v>No</x:v>
      </x:c>
      <x:c r="BV22" t="str">
        <x:v>No</x:v>
      </x:c>
      <x:c r="BW22" t="str">
        <x:v>No</x:v>
      </x:c>
      <x:c r="BX22" t="str">
        <x:v>No</x:v>
      </x:c>
      <x:c r="BY22" t="str">
        <x:v>No</x:v>
      </x:c>
      <x:c r="BZ22" t="str">
        <x:v>No</x:v>
      </x:c>
      <x:c r="CA22" t="str">
        <x:v>Matched</x:v>
      </x:c>
      <x:c r="CB22" t="str">
        <x:v>Not Found After Verification</x:v>
      </x:c>
      <x:c r="CC22" t="str">
        <x:v>Not Found After Verification</x:v>
      </x:c>
      <x:c r="CD22" t="str">
        <x:v>Audit logged - deep extraction pending</x:v>
      </x:c>
      <x:c r="CE22" t="str">
        <x:v>false</x:v>
      </x:c>
      <x:c r="CF22"/>
      <x:c r="CG22" t="str">
        <x:v>研究问题：人类双手操作能力丰富，但难以直接迁移到机器人灵巧手。；之前方法的问题：人手和机器人手的运动学、接触方式不同，逐帧模仿不能保证可执行。；核心思路：ManipTrans 用两阶段流程，在仿真中把人类双手技能迁移到机器人灵巧手策略。；数据集与评测基准：双手灵巧操作仿真任务；详细任务和基线见论文。；主要结果：作者报告成功率、动作保真度与训练效率优于所比较方法；摘要未给统一数字。；为什么重要：展示 Human Video / Human Motion 到机器人双手动作的转换思路。；与当前项目的关系：Medium：手型不同，普通夹爪适配仍需单独建模。；主要局限：仿真到真机与普通夹爪迁移尚不能从摘要确认。</x:v>
      </x:c>
      <x:c r="CH22" t="str">
        <x:v>人手和机器人手的运动学、接触方式不同，逐帧模仿不能保证可执行。</x:v>
      </x:c>
      <x:c r="CI22" t="str">
        <x:v>ManipTrans 用两阶段流程，在仿真中把人类双手技能迁移到机器人灵巧手策略。</x:v>
      </x:c>
      <x:c r="CJ22"/>
      <x:c r="CK22" t="str">
        <x:v>作者报告成功率、动作保真度与训练效率优于所比较方法；摘要未给统一数字。</x:v>
      </x:c>
      <x:c r="CL22" t="str">
        <x:v>展示 Human Video / Human Motion 到机器人双手动作的转换思路。</x:v>
      </x:c>
      <x:c r="CM22" t="str">
        <x:v>仿真到真机与普通夹爪迁移尚不能从摘要确认。</x:v>
      </x:c>
      <x:c r="CN22"/>
      <x:c r="CO22" t="str">
        <x:v>Medium：手型不同，普通夹爪适配仍需单独建模。</x:v>
      </x:c>
      <x:c r="CP22" t="str">
        <x:v>官方摘要/论文页; https://openaccess.thecvf.com/content/CVPR2025/html/Li_ManipTrans_Efficient_Dexterous_Bimanual_Manipulation_Transfer_via_Residual_Learning_CVPR_2025_paper.html; 核验于 2026-09-23. 仅为摘要级速读；原 Evidence Quality 不变。 - 核验层级：摘要有可追溯来源</x:v>
      </x:c>
      <x:c r="CQ22" t="str">
        <x:v>title</x:v>
      </x:c>
      <x:c r="CR22" t="n">
        <x:v>0</x:v>
      </x:c>
      <x:c r="CS22" t="n">
        <x:v>0</x:v>
      </x:c>
    </x:row>
    <x:row r="23" ht="58" customHeight="1">
      <x:c r="A23" t="str">
        <x:v>A022</x:v>
      </x:c>
      <x:c r="B23" t="str">
        <x:v>DexHandDiff: Interaction-aware Diffusion Planning for Adaptive Dexterous Manipulation</x:v>
      </x:c>
      <x:c r="C23" t="str">
        <x:v>Liang, Zhixuan; Mu, Yao; Wang, Yixiao; Chen, Tianxing; Shao, Wenqi; Zhan, Wei; Tomizuka, Masayoshi; Luo, Ping; Ding, Mingyu</x:v>
      </x:c>
      <x:c r="D23" t="n">
        <x:v>2025</x:v>
      </x:c>
      <x:c r="E23" t="str">
        <x:v>CVPR</x:v>
      </x:c>
      <x:c r="F23" t="str">
        <x:v>A</x:v>
      </x:c>
      <x:c r="G23" t="str">
        <x:v>Official Conference Paper</x:v>
      </x:c>
      <x:c r="H23" t="str">
        <x:v>Method Paper</x:v>
      </x:c>
      <x:c r="I23" t="str">
        <x:v>Dexterous Manipulation</x:v>
      </x:c>
      <x:c r="J23" t="str">
        <x:v>Diffusion / Contact-rich Manipulation</x:v>
      </x:c>
      <x:c r="K23" t="str">
        <x:v>Diffusion / Contact-rich Manipulation</x:v>
      </x:c>
      <x:c r="L23" t="e">
        <x:f>HYPERLINK("https://openaccess.thecvf.com/content/CVPR2025/html/Liang_DexHandDiff_Interaction-aware_Diffusion_Planning_for_Adaptive_Dexterous_Manipulation_CVPR_2025_paper.html","论文")</x:f>
        <x:v>HYPERLINK is not implemented. linkLocation=https://openaccess.thecvf.com/content/CVPR2025/html/Liang_DexHandDiff_Interaction-aware_Diffusion_Planning_for_Adaptive_Dexterous_Manipulation_CVPR_2025_paper.html, friendlyName=论文</x:v>
      </x:c>
      <x:c r="M23" t="str">
        <x:v>Unknown</x:v>
      </x:c>
      <x:c r="N23" t="str">
        <x:v>Unknown</x:v>
      </x:c>
      <x:c r="O23" t="e">
        <x:f>HYPERLINK("https://dexdiffuser.github.io/","Project")</x:f>
        <x:v>HYPERLINK is not implemented. linkLocation=https://dexdiffuser.github.io/, friendlyName=Project</x:v>
      </x:c>
      <x:c r="P23" t="e">
        <x:f>HYPERLINK("https://github.com/Liang-ZX/DexHandDiff","GitHub")</x:f>
        <x:v>HYPERLINK is not implemented. linkLocation=https://github.com/Liang-ZX/DexHandDiff, friendlyName=GitHub</x:v>
      </x:c>
      <x:c r="Q23" t="str">
        <x:v>Partial</x:v>
      </x:c>
      <x:c r="R23" t="str">
        <x:v>Unknown</x:v>
      </x:c>
      <x:c r="S23" t="str">
        <x:v>Unknown</x:v>
      </x:c>
      <x:c r="T23" t="str">
        <x:v>Unknown</x:v>
      </x:c>
      <x:c r="U23" t="str">
        <x:v>Unknown</x:v>
      </x:c>
      <x:c r="V23" t="str">
        <x:v>Dexterous Hand</x:v>
      </x:c>
      <x:c r="W23" t="str">
        <x:v>Single Arm</x:v>
      </x:c>
      <x:c r="X23" t="str">
        <x:v>Dexterous Hand</x:v>
      </x:c>
      <x:c r="Y23" t="str">
        <x:v>Unknown</x:v>
      </x:c>
      <x:c r="Z23" t="str">
        <x:v>Unknown</x:v>
      </x:c>
      <x:c r="AA23" t="str">
        <x:v>Unknown</x:v>
      </x:c>
      <x:c r="AB23" t="str">
        <x:v>Unknown</x:v>
      </x:c>
      <x:c r="AC23" t="str">
        <x:v>P0</x:v>
      </x:c>
      <x:c r="AD23" t="str">
        <x:v>Official proceedings verified; CCF A via user-provided CCF 7th-edition venue mapping</x:v>
      </x:c>
      <x:c r="AE23" t="str">
        <x:v>2026-09-19</x:v>
      </x:c>
      <x:c r="AF23" t="str">
        <x:v>Formal main-conference record verified from official proceedings; metadata not inferred beyond available source evidence.</x:v>
      </x:c>
      <x:c r="AG23" t="str">
        <x:v>CCF A Conference</x:v>
      </x:c>
      <x:c r="AH23" t="str">
        <x:v>Official Conference Paper</x:v>
      </x:c>
      <x:c r="AI23" t="str">
        <x:v>No</x:v>
      </x:c>
      <x:c r="AJ23" t="str">
        <x:v>02_Papers/04_Dexterous/DexHandDiff.md</x:v>
      </x:c>
      <x:c r="AK23" t="str">
        <x:v>Strict CCF A</x:v>
      </x:c>
      <x:c r="AL23" t="str">
        <x:v>https://openaccess.thecvf.com/content/CVPR2025/html/Liang_DexHandDiff_Interaction-aware_Diffusion_Planning_for_Adaptive_Dexterous_Manipulation_CVPR_2025_paper.html; official abstract/proceedings metadata</x:v>
      </x:c>
      <x:c r="AM23" t="str">
        <x:v>Abstract-level</x:v>
      </x:c>
      <x:c r="AN23" t="str">
        <x:v>Diffusion / Contact-rich Manipulation</x:v>
      </x:c>
      <x:c r="AO23" t="str">
        <x:v>See canonical card Research Summary; generated only from official abstract-level evidence.</x:v>
      </x:c>
      <x:c r="AP23" t="str">
        <x:v>Diffusion / Contact-rich Manipulation</x:v>
      </x:c>
      <x:c r="AQ23" t="str">
        <x:v>Real Robot=Unknown; Dataset/Benchmark/Robot Platform retain Unknown when not verified.</x:v>
      </x:c>
      <x:c r="AR23" t="str">
        <x:v>** 对灵巧操作扩展有参考价值；当前普通夹爪主线需区分可迁移的学习方法与依赖多指硬件的部分。</x:v>
      </x:c>
      <x:c r="AS23" t="str">
        <x:v>Project-stated CCF seventh-edition mapping; official row pending where noted</x:v>
      </x:c>
      <x:c r="AT23" t="str">
        <x:v>Dexterous</x:v>
      </x:c>
      <x:c r="AU23" t="n">
        <x:v>2</x:v>
      </x:c>
      <x:c r="AV23" t="str">
        <x:v>OpenAlex</x:v>
      </x:c>
      <x:c r="AW23" t="str">
        <x:v>2026-09-25</x:v>
      </x:c>
      <x:c r="AX23" t="str">
        <x:v>接触密集的灵巧操作需要根据目标与环境变化调整动作。</x:v>
      </x:c>
      <x:c r="AY23" t="str">
        <x:v>Unknown / Needs Full-Paper Verification</x:v>
      </x:c>
      <x:c r="AZ23" t="str">
        <x:v>以 `Diffusion / Contact-rich Manipulation` 为主要方法/能力线索；更细的结构和消融结论待正文核验。</x:v>
      </x:c>
      <x:c r="BA23" t="str">
        <x:v>已核验摘要未明确说明；需查阅论文方法与实验章节。</x:v>
      </x:c>
      <x:c r="BB23" t="str">
        <x:v>Unknown / Needs Full-Paper Verification</x:v>
      </x:c>
      <x:c r="BC23" t="str">
        <x:v>- In this work, we introduce DexHandDiff, an interaction-aware diffusion planning framework for adaptive dexterous manipulation.</x:v>
      </x:c>
      <x:c r="BD23" t="str">
        <x:v>Real Robot 字段为 `Unknown`；Dataset、Benchmark、Robot Platform 中的 Unknown 继续保留，不从题名推断。</x:v>
      </x:c>
      <x:c r="BE23" t="str">
        <x:v>官方摘要报告目标自适应任务平均成功率 70.7%。</x:v>
      </x:c>
      <x:c r="BF23" t="str">
        <x:v>Unknown / Needs Full-Paper Verification</x:v>
      </x:c>
      <x:c r="BG23" t="str">
        <x:v>Library Analysis / Research Note: Unknown / Needs Full-Paper Verification</x:v>
      </x:c>
      <x:c r="BH23" t="str">
        <x:v>Diffusion / Contact-rich Manipulation</x:v>
      </x:c>
      <x:c r="BI23" t="str">
        <x:v>B</x:v>
      </x:c>
      <x:c r="BJ23"/>
      <x:c r="BK23" t="str">
        <x:v>Unknown / Not Explicitly Reported in the currently accessible sources.</x:v>
      </x:c>
      <x:c r="BL23" t="str">
        <x:v>Unknown / Not Explicitly Reported in the currently accessible sources.</x:v>
      </x:c>
      <x:c r="BM23" t="str">
        <x:v>https://openalex.org/W4413146641</x:v>
      </x:c>
      <x:c r="BN23" t="str">
        <x:v>https://openaccess.thecvf.com/content/CVPR2025/html/Liang_DexHandDiff_Interaction-aware_Diffusion_Planning_for_Adaptive_Dexterous_Manipulation_CVPR_2025_paper.html; https://dexdiffuser.github.io/; https://github.com/Liang-</x:v>
      </x:c>
      <x:c r="BO23" t="str">
        <x:v>B-Fulltext-Unavailable</x:v>
      </x:c>
      <x:c r="BP23" t="str">
        <x:v>Not Found</x:v>
      </x:c>
      <x:c r="BQ23" t="str">
        <x:v>Partial</x:v>
      </x:c>
      <x:c r="BR23" t="str">
        <x:v>Unknown</x:v>
      </x:c>
      <x:c r="BS23" t="str">
        <x:v>https://openaccess.thecvf.com/content/CVPR2025/papers/Liang_DexHandDiff_Interaction-aware_Diffusion_Planning_for_Adaptive_Dexterous_Manipulation_CVPR_2025_paper.pdf</x:v>
      </x:c>
      <x:c r="BT23" t="str">
        <x:v>No</x:v>
      </x:c>
      <x:c r="BU23" t="str">
        <x:v>No</x:v>
      </x:c>
      <x:c r="BV23" t="str">
        <x:v>No</x:v>
      </x:c>
      <x:c r="BW23" t="str">
        <x:v>No</x:v>
      </x:c>
      <x:c r="BX23" t="str">
        <x:v>No</x:v>
      </x:c>
      <x:c r="BY23" t="str">
        <x:v>No</x:v>
      </x:c>
      <x:c r="BZ23" t="str">
        <x:v>No</x:v>
      </x:c>
      <x:c r="CA23" t="str">
        <x:v>Matched</x:v>
      </x:c>
      <x:c r="CB23" t="str">
        <x:v>Not Found After Verification</x:v>
      </x:c>
      <x:c r="CC23" t="str">
        <x:v>Not Found After Verification</x:v>
      </x:c>
      <x:c r="CD23" t="str">
        <x:v>Audit logged - deep extraction pending</x:v>
      </x:c>
      <x:c r="CE23" t="str">
        <x:v>false</x:v>
      </x:c>
      <x:c r="CF23"/>
      <x:c r="CG23" t="str">
        <x:v>研究问题：接触密集的灵巧操作需要根据目标与环境变化调整动作。；之前方法的问题：固定轨迹或单一接触模式难适应复杂手—物交互。；核心思路：DexHandDiff 用交互感知的扩散式规划生成可适应目标变化的灵巧手动作。；主要结果：官方摘要报告目标自适应任务平均成功率 70.7%。；为什么重要：展示生成式策略如何表达多种接触动作。；与当前项目的关系：Medium：可借鉴动作生成机制，但灵巧手与普通夹爪不同。；主要局限：需检查真机接触、动作延迟和跨硬件泛化。</x:v>
      </x:c>
      <x:c r="CH23" t="str">
        <x:v>固定轨迹或单一接触模式难适应复杂手—物交互。</x:v>
      </x:c>
      <x:c r="CI23" t="str">
        <x:v>DexHandDiff 用交互感知的扩散式规划生成可适应目标变化的灵巧手动作。</x:v>
      </x:c>
      <x:c r="CJ23"/>
      <x:c r="CK23" t="str">
        <x:v>官方摘要报告目标自适应任务平均成功率 70.7%。</x:v>
      </x:c>
      <x:c r="CL23" t="str">
        <x:v>展示生成式策略如何表达多种接触动作。</x:v>
      </x:c>
      <x:c r="CM23" t="str">
        <x:v>需检查真机接触、动作延迟和跨硬件泛化。</x:v>
      </x:c>
      <x:c r="CN23"/>
      <x:c r="CO23" t="str">
        <x:v>Medium：可借鉴动作生成机制，但灵巧手与普通夹爪不同。</x:v>
      </x:c>
      <x:c r="CP23" t="str">
        <x:v>官方摘要/论文页; https://openaccess.thecvf.com/content/CVPR2025/html/Liang_DexHandDiff_Interaction-aware_Diffusion_Planning_for_Adaptive_Dexterous_Manipulation_CVPR_2025_paper.html; 核验于 2026-09-23. 仅为摘要级速读；原 Evidence Quality 不变。 - 核验层级：摘要有可追溯来源</x:v>
      </x:c>
      <x:c r="CQ23" t="str">
        <x:v>title</x:v>
      </x:c>
      <x:c r="CR23" t="n">
        <x:v>0</x:v>
      </x:c>
      <x:c r="CS23" t="n">
        <x:v>1</x:v>
      </x:c>
    </x:row>
    <x:row r="24" ht="58" customHeight="1">
      <x:c r="A24" t="str">
        <x:v>A023</x:v>
      </x:c>
      <x:c r="B24" t="str">
        <x:v>AR-VRM: Imitating Human Motions for Visual Robot Manipulation with Analogical Reasoning</x:v>
      </x:c>
      <x:c r="C24" t="str">
        <x:v>Yang, Dejie; Zhao, Zijing; Liu, Yang</x:v>
      </x:c>
      <x:c r="D24" t="n">
        <x:v>2025</x:v>
      </x:c>
      <x:c r="E24" t="str">
        <x:v>ICCV</x:v>
      </x:c>
      <x:c r="F24" t="str">
        <x:v>A</x:v>
      </x:c>
      <x:c r="G24" t="str">
        <x:v>Official Conference Paper</x:v>
      </x:c>
      <x:c r="H24" t="str">
        <x:v>Method Paper</x:v>
      </x:c>
      <x:c r="I24" t="str">
        <x:v>Robot Manipulation; Imitation Learning</x:v>
      </x:c>
      <x:c r="J24" t="str">
        <x:v>Human Video / VLM</x:v>
      </x:c>
      <x:c r="K24" t="str">
        <x:v>Human Video / VLM</x:v>
      </x:c>
      <x:c r="L24" t="e">
        <x:f>HYPERLINK("https://openaccess.thecvf.com/content/ICCV2025/html/Yang_AR-VRM_Imitating_Human_Motions_for_Visual_Robot_Manipulation_with_Analogical_ICCV_2025_paper.html","论文")</x:f>
        <x:v>HYPERLINK is not implemented. linkLocation=https://openaccess.thecvf.com/content/ICCV2025/html/Yang_AR-VRM_Imitating_Human_Motions_for_Visual_Robot_Manipulation_with_Analogical_ICCV_2025_paper.html, friendlyName=论文</x:v>
      </x:c>
      <x:c r="M24" t="str">
        <x:v>Unknown</x:v>
      </x:c>
      <x:c r="N24" t="str">
        <x:v>Unknown</x:v>
      </x:c>
      <x:c r="O24" t="e">
        <x:f>HYPERLINK("https://idejie.com/AR/","Project")</x:f>
        <x:v>HYPERLINK is not implemented. linkLocation=https://idejie.com/AR/, friendlyName=Project</x:v>
      </x:c>
      <x:c r="P24" t="e">
        <x:f>HYPERLINK("https://github.com/idejie/ar","GitHub")</x:f>
        <x:v>HYPERLINK is not implemented. linkLocation=https://github.com/idejie/ar, friendlyName=GitHub</x:v>
      </x:c>
      <x:c r="Q24" t="str">
        <x:v>Released</x:v>
      </x:c>
      <x:c r="R24" t="str">
        <x:v>Unknown</x:v>
      </x:c>
      <x:c r="S24" t="str">
        <x:v>Unknown</x:v>
      </x:c>
      <x:c r="T24" t="str">
        <x:v>Unknown</x:v>
      </x:c>
      <x:c r="U24" t="str">
        <x:v>Unknown</x:v>
      </x:c>
      <x:c r="V24" t="str">
        <x:v>Single Arm / Parallel Gripper</x:v>
      </x:c>
      <x:c r="W24" t="str">
        <x:v>Single Arm</x:v>
      </x:c>
      <x:c r="X24" t="str">
        <x:v>Parallel Gripper</x:v>
      </x:c>
      <x:c r="Y24" t="str">
        <x:v>Unknown</x:v>
      </x:c>
      <x:c r="Z24" t="str">
        <x:v>Unknown</x:v>
      </x:c>
      <x:c r="AA24" t="str">
        <x:v>Unknown</x:v>
      </x:c>
      <x:c r="AB24" t="str">
        <x:v>Unknown</x:v>
      </x:c>
      <x:c r="AC24" t="str">
        <x:v>P1</x:v>
      </x:c>
      <x:c r="AD24" t="str">
        <x:v>Official proceedings verified; CCF A via user-provided CCF 7th-edition venue mapping</x:v>
      </x:c>
      <x:c r="AE24" t="str">
        <x:v>2026-09-19</x:v>
      </x:c>
      <x:c r="AF24" t="str">
        <x:v>Formal main-conference record verified from official proceedings; metadata not inferred beyond available source evidence.</x:v>
      </x:c>
      <x:c r="AG24" t="str">
        <x:v>CCF A Conference</x:v>
      </x:c>
      <x:c r="AH24" t="str">
        <x:v>Official Conference Paper</x:v>
      </x:c>
      <x:c r="AI24" t="str">
        <x:v>No</x:v>
      </x:c>
      <x:c r="AJ24" t="str">
        <x:v>02_Papers/06_Diffusion_Flow_IL_RL/AR-VRM.md</x:v>
      </x:c>
      <x:c r="AK24" t="str">
        <x:v>Strict CCF A</x:v>
      </x:c>
      <x:c r="AL24" t="str">
        <x:v>https://openaccess.thecvf.com/content/ICCV2025/html/Yang_AR-VRM_Imitating_Human_Motions_for_Visual_Robot_Manipulation_with_Analogical_ICCV_2025_paper.html; official abstract/proceedings metadata</x:v>
      </x:c>
      <x:c r="AM24" t="str">
        <x:v>Abstract-level</x:v>
      </x:c>
      <x:c r="AN24" t="str">
        <x:v>Human Video / VLM</x:v>
      </x:c>
      <x:c r="AO24" t="str">
        <x:v>See canonical card Research Summary; generated only from official abstract-level evidence.</x:v>
      </x:c>
      <x:c r="AP24" t="str">
        <x:v>Human Video / VLM</x:v>
      </x:c>
      <x:c r="AQ24" t="str">
        <x:v>Real Robot=Unknown; Dataset/Benchmark/Robot Platform retain Unknown when not verified.</x:v>
      </x:c>
      <x:c r="AR24" t="str">
        <x:v>** 与机器人操作、模仿学习或策略泛化相关；是否进入 L2/L3 取决于与双臂普通夹爪平台的可迁移性。</x:v>
      </x:c>
      <x:c r="AS24" t="str">
        <x:v>Project-stated CCF seventh-edition mapping; official row pending where noted</x:v>
      </x:c>
      <x:c r="AT24" t="str">
        <x:v>Diffusion / Flow / IL / RL</x:v>
      </x:c>
      <x:c r="AU24" t="n">
        <x:v>0</x:v>
      </x:c>
      <x:c r="AV24" t="str">
        <x:v>OpenAlex</x:v>
      </x:c>
      <x:c r="AW24" t="str">
        <x:v>2026-09-25</x:v>
      </x:c>
      <x:c r="AX24" t="str">
        <x:v>视觉机器人操作要根据语言、视觉和状态输出可执行动作。</x:v>
      </x:c>
      <x:c r="AY24" t="str">
        <x:v>Unknown / Needs Full-Paper Verification</x:v>
      </x:c>
      <x:c r="AZ24" t="str">
        <x:v>以 `Human Video / VLM` 为主要方法/能力线索；更细的结构和消融结论待正文核验。</x:v>
      </x:c>
      <x:c r="BA24" t="str">
        <x:v>已核验摘要未明确说明；需查阅论文方法与实验章节。</x:v>
      </x:c>
      <x:c r="BB24" t="str">
        <x:v>Unknown / Needs Full-Paper Verification</x:v>
      </x:c>
      <x:c r="BC24" t="str">
        <x:v>- In this paper, we propose to learn from large-scale human action video datasets in an explicit way (i.e., imitating human actions from hand keypoints), introduc- ing Visual Robot Manipulation with Analogical Reasoning (AR-VRM).</x:v>
      </x:c>
      <x:c r="BD24" t="str">
        <x:v>Real Robot 字段为 `Unknown`；Dataset、Benchmark、Robot Platform 中的 Unknown 继续保留，不从题名推断。</x:v>
      </x:c>
      <x:c r="BE24" t="str">
        <x:v>作者报告小样本设置下优于所比较方法；摘要未给可安全复述的统一数值。</x:v>
      </x:c>
      <x:c r="BF24" t="str">
        <x:v>Unknown / Needs Full-Paper Verification</x:v>
      </x:c>
      <x:c r="BG24" t="str">
        <x:v>Library Analysis / Research Note: Unknown / Needs Full-Paper Verification</x:v>
      </x:c>
      <x:c r="BH24" t="str">
        <x:v>Human Video / VLM</x:v>
      </x:c>
      <x:c r="BI24" t="str">
        <x:v>B</x:v>
      </x:c>
      <x:c r="BJ24"/>
      <x:c r="BK24" t="str">
        <x:v>Unknown / Not Explicitly Reported in the currently accessible sources.</x:v>
      </x:c>
      <x:c r="BL24" t="str">
        <x:v>Unknown / Not Explicitly Reported in the currently accessible sources.</x:v>
      </x:c>
      <x:c r="BM24" t="str">
        <x:v>https://openalex.org/W4416242580</x:v>
      </x:c>
      <x:c r="BN24" t="str">
        <x:v>https://openaccess.thecvf.com/content/ICCV2025/html/Yang_AR-VRM_Imitating_Human_Motions_for_Visual_Robot_Manipulation_with_Analogical_ICCV_2025_paper.html；官方摘要/论文集元数据</x:v>
      </x:c>
      <x:c r="BO24" t="str">
        <x:v>B-Fulltext-Unavailable</x:v>
      </x:c>
      <x:c r="BP24" t="str">
        <x:v>Not Found</x:v>
      </x:c>
      <x:c r="BQ24" t="str">
        <x:v>Mostly Complete</x:v>
      </x:c>
      <x:c r="BR24" t="str">
        <x:v>Unknown</x:v>
      </x:c>
      <x:c r="BS24" t="str">
        <x:v>https://openaccess.thecvf.com/content/ICCV2025/papers/Yang_AR-VRM_Imitating_Human_Motions_for_Visual_Robot_Manipulation_with_Analogical_ICCV_2025_paper.pdf</x:v>
      </x:c>
      <x:c r="BT24" t="str">
        <x:v>No</x:v>
      </x:c>
      <x:c r="BU24" t="str">
        <x:v>No</x:v>
      </x:c>
      <x:c r="BV24" t="str">
        <x:v>No</x:v>
      </x:c>
      <x:c r="BW24" t="str">
        <x:v>No</x:v>
      </x:c>
      <x:c r="BX24" t="str">
        <x:v>No</x:v>
      </x:c>
      <x:c r="BY24" t="str">
        <x:v>No</x:v>
      </x:c>
      <x:c r="BZ24" t="str">
        <x:v>No</x:v>
      </x:c>
      <x:c r="CA24" t="str">
        <x:v>Matched</x:v>
      </x:c>
      <x:c r="CB24" t="str">
        <x:v>Not Found After Verification</x:v>
      </x:c>
      <x:c r="CC24" t="str">
        <x:v>Not Found After Verification</x:v>
      </x:c>
      <x:c r="CD24" t="str">
        <x:v>Audit logged - deep extraction pending</x:v>
      </x:c>
      <x:c r="CE24" t="str">
        <x:v>false</x:v>
      </x:c>
      <x:c r="CF24"/>
      <x:c r="CG24" t="str">
        <x:v>研究问题：视觉机器人操作要根据语言、视觉和状态输出可执行动作。；之前方法的问题：只依赖少量机器人示范，难以利用大量人类动作视频。；核心思路：AR-VRM 显式利用人类动作视频学习视觉操作表示，再适配机器人策略。；主要结果：作者报告小样本设置下优于所比较方法；摘要未给可安全复述的统一数值。；为什么重要：为人类视频转机器人动作提供另一种数据路线。；与当前项目的关系：Medium：与低成本数据收集相关，双臂夹爪迁移待验。；主要局限：人体动作和机器人动作空间差异需要明确对齐。</x:v>
      </x:c>
      <x:c r="CH24" t="str">
        <x:v>只依赖少量机器人示范，难以利用大量人类动作视频。</x:v>
      </x:c>
      <x:c r="CI24" t="str">
        <x:v>AR-VRM 显式利用人类动作视频学习视觉操作表示，再适配机器人策略。</x:v>
      </x:c>
      <x:c r="CJ24"/>
      <x:c r="CK24" t="str">
        <x:v>作者报告小样本设置下优于所比较方法；摘要未给可安全复述的统一数值。</x:v>
      </x:c>
      <x:c r="CL24" t="str">
        <x:v>为人类视频转机器人动作提供另一种数据路线。</x:v>
      </x:c>
      <x:c r="CM24" t="str">
        <x:v>人体动作和机器人动作空间差异需要明确对齐。</x:v>
      </x:c>
      <x:c r="CN24"/>
      <x:c r="CO24" t="str">
        <x:v>Medium：与低成本数据收集相关，双臂夹爪迁移待验。</x:v>
      </x:c>
      <x:c r="CP24" t="str">
        <x:v>官方摘要/论文页; https://openaccess.thecvf.com/content/ICCV2025/html/Yang_AR-VRM_Imitating_Human_Motions_for_Visual_Robot_Manipulation_with_Analogical_ICCV_2025_paper.html; 核验于 2026-09-23. 仅为摘要级速读；原 Evidence Quality 不变。 - 核验层级：摘要有可追溯来源</x:v>
      </x:c>
      <x:c r="CQ24" t="str">
        <x:v>title</x:v>
      </x:c>
      <x:c r="CR24" t="n">
        <x:v>0</x:v>
      </x:c>
      <x:c r="CS24" t="n">
        <x:v>0</x:v>
      </x:c>
    </x:row>
    <x:row r="25" ht="58" customHeight="1">
      <x:c r="A25" t="str">
        <x:v>A024</x:v>
      </x:c>
      <x:c r="B25" t="str">
        <x:v>Dexterous Grasp Transformer</x:v>
      </x:c>
      <x:c r="C25" t="str">
        <x:v>Xu, Guo-Hao; Wei, Yi-Lin; Zheng, Dian; Wu, Xiao-Ming; Zheng, Wei-Shi</x:v>
      </x:c>
      <x:c r="D25" t="n">
        <x:v>2024</x:v>
      </x:c>
      <x:c r="E25" t="str">
        <x:v>CVPR</x:v>
      </x:c>
      <x:c r="F25" t="str">
        <x:v>A</x:v>
      </x:c>
      <x:c r="G25" t="str">
        <x:v>Official Conference Paper</x:v>
      </x:c>
      <x:c r="H25" t="str">
        <x:v>Method Paper</x:v>
      </x:c>
      <x:c r="I25" t="str">
        <x:v>Dexterous Manipulation</x:v>
      </x:c>
      <x:c r="J25" t="str">
        <x:v>Dexterous Grasping</x:v>
      </x:c>
      <x:c r="K25" t="str">
        <x:v>Dexterous Grasping</x:v>
      </x:c>
      <x:c r="L25" t="e">
        <x:f>HYPERLINK("https://openaccess.thecvf.com/content/CVPR2024/html/Xu_Dexterous_Grasp_Transformer_CVPR_2024_paper.html","论文")</x:f>
        <x:v>HYPERLINK is not implemented. linkLocation=https://openaccess.thecvf.com/content/CVPR2024/html/Xu_Dexterous_Grasp_Transformer_CVPR_2024_paper.html, friendlyName=论文</x:v>
      </x:c>
      <x:c r="M25" t="str">
        <x:v>Unknown</x:v>
      </x:c>
      <x:c r="N25" t="str">
        <x:v>Unknown</x:v>
      </x:c>
      <x:c r="O25" t="str">
        <x:v>Unknown</x:v>
      </x:c>
      <x:c r="P25" t="e">
        <x:f>HYPERLINK("https://github.com/iSEE-Laboratory/DGTR","GitHub")</x:f>
        <x:v>HYPERLINK is not implemented. linkLocation=https://github.com/iSEE-Laboratory/DGTR, friendlyName=GitHub</x:v>
      </x:c>
      <x:c r="Q25" t="str">
        <x:v>Released</x:v>
      </x:c>
      <x:c r="R25" t="str">
        <x:v>Unknown</x:v>
      </x:c>
      <x:c r="S25" t="str">
        <x:v>Unknown</x:v>
      </x:c>
      <x:c r="T25" t="str">
        <x:v>Unknown</x:v>
      </x:c>
      <x:c r="U25" t="str">
        <x:v>Unknown</x:v>
      </x:c>
      <x:c r="V25" t="str">
        <x:v>Dexterous Hand</x:v>
      </x:c>
      <x:c r="W25" t="str">
        <x:v>Unknown</x:v>
      </x:c>
      <x:c r="X25" t="str">
        <x:v>Dexterous Hand</x:v>
      </x:c>
      <x:c r="Y25" t="str">
        <x:v>No</x:v>
      </x:c>
      <x:c r="Z25" t="str">
        <x:v>Unknown</x:v>
      </x:c>
      <x:c r="AA25" t="str">
        <x:v>Unknown</x:v>
      </x:c>
      <x:c r="AB25" t="str">
        <x:v>Unknown</x:v>
      </x:c>
      <x:c r="AC25" t="str">
        <x:v>P1</x:v>
      </x:c>
      <x:c r="AD25" t="str">
        <x:v>Official proceedings verified; CCF A via user-provided CCF 7th-edition venue mapping</x:v>
      </x:c>
      <x:c r="AE25" t="str">
        <x:v>2026-09-19</x:v>
      </x:c>
      <x:c r="AF25" t="str">
        <x:v>Formal main-conference or official conference track record verified from the official proceedings page. Unchecked metadata remains Unknown.</x:v>
      </x:c>
      <x:c r="AG25" t="str">
        <x:v>CCF A Conference</x:v>
      </x:c>
      <x:c r="AH25" t="str">
        <x:v>Official Conference Paper</x:v>
      </x:c>
      <x:c r="AI25" t="str">
        <x:v>No</x:v>
      </x:c>
      <x:c r="AJ25" t="str">
        <x:v>02_Papers/04_Dexterous/Dexterous_Grasp_Transformer.md</x:v>
      </x:c>
      <x:c r="AK25" t="str">
        <x:v>Strict CCF A</x:v>
      </x:c>
      <x:c r="AL25" t="str">
        <x:v>https://openaccess.thecvf.com/content/CVPR2024/html/Xu_Dexterous_Grasp_Transformer_CVPR_2024_paper.html; official abstract/proceedings metadata</x:v>
      </x:c>
      <x:c r="AM25" t="str">
        <x:v>Abstract-level</x:v>
      </x:c>
      <x:c r="AN25" t="str">
        <x:v>Dexterous Grasping</x:v>
      </x:c>
      <x:c r="AO25" t="str">
        <x:v>See canonical card Research Summary; generated only from official abstract-level evidence.</x:v>
      </x:c>
      <x:c r="AP25" t="str">
        <x:v>Dexterous Grasping</x:v>
      </x:c>
      <x:c r="AQ25" t="str">
        <x:v>Real Robot=No; Dataset/Benchmark/Robot Platform retain Unknown when not verified.</x:v>
      </x:c>
      <x:c r="AR25" t="str">
        <x:v>** 对灵巧操作扩展有参考价值；当前普通夹爪主线需区分可迁移的学习方法与依赖多指硬件的部分。</x:v>
      </x:c>
      <x:c r="AS25" t="str">
        <x:v>Project-stated CCF seventh-edition mapping; official row pending where noted</x:v>
      </x:c>
      <x:c r="AT25" t="str">
        <x:v>Dexterous</x:v>
      </x:c>
      <x:c r="AU25" t="n">
        <x:v>29</x:v>
      </x:c>
      <x:c r="AV25" t="str">
        <x:v>OpenAlex</x:v>
      </x:c>
      <x:c r="AW25" t="str">
        <x:v>2026-09-25</x:v>
      </x:c>
      <x:c r="AX25" t="str">
        <x:v>灵巧手抓取不仅要可行，还要生成多样姿态。</x:v>
      </x:c>
      <x:c r="AY25" t="str">
        <x:v>Unknown / Needs Full-Paper Verification</x:v>
      </x:c>
      <x:c r="AZ25" t="str">
        <x:v>以 `Dexterous Grasping` 为主要方法/能力线索；更细的结构和消融结论待正文核验。</x:v>
      </x:c>
      <x:c r="BA25" t="str">
        <x:v>已核验摘要未明确说明；需查阅论文方法与实验章节。</x:v>
      </x:c>
      <x:c r="BB25" t="str">
        <x:v>Unknown / Needs Full-Paper Verification</x:v>
      </x:c>
      <x:c r="BC25" t="str">
        <x:v>- In this work we propose a novel discriminative framework for dexterous grasp generation named Dexterous Grasp TRansformer (DGTR) capable of predicting a diverse set of feasible grasp poses by processing the object point cloud with only one forward pass.</x:v>
      </x:c>
      <x:c r="BD25" t="str">
        <x:v>Real Robot 字段为 `No`；Dataset、Benchmark、Robot Platform 中的 Unknown 继续保留，不从题名推断。</x:v>
      </x:c>
      <x:c r="BE25" t="str">
        <x:v>作者报告保持抓取质量时，预测姿态多样性优于先前方法；具体数值需核对表格。</x:v>
      </x:c>
      <x:c r="BF25" t="str">
        <x:v>Unknown / Needs Full-Paper Verification</x:v>
      </x:c>
      <x:c r="BG25" t="str">
        <x:v>Library Analysis / Research Note: Unknown / Needs Full-Paper Verification</x:v>
      </x:c>
      <x:c r="BH25" t="str">
        <x:v>Dexterous Grasping</x:v>
      </x:c>
      <x:c r="BI25" t="str">
        <x:v>B</x:v>
      </x:c>
      <x:c r="BJ25"/>
      <x:c r="BK25" t="str">
        <x:v>Unknown / Not Explicitly Reported in the currently accessible sources.</x:v>
      </x:c>
      <x:c r="BL25" t="str">
        <x:v>Unknown / Not Explicitly Reported in the currently accessible sources.</x:v>
      </x:c>
      <x:c r="BM25" t="str">
        <x:v>https://openalex.org/W4402816741</x:v>
      </x:c>
      <x:c r="BN25" t="str">
        <x:v>https://openaccess.thecvf.com/content/CVPR2024/html/Xu_Dexterous_Grasp_Transformer_CVPR_2024_paper.html；官方摘要/论文集元数据</x:v>
      </x:c>
      <x:c r="BO25" t="str">
        <x:v>B-Fulltext-Unavailable</x:v>
      </x:c>
      <x:c r="BP25" t="str">
        <x:v>Not Found</x:v>
      </x:c>
      <x:c r="BQ25" t="str">
        <x:v>Mostly Complete</x:v>
      </x:c>
      <x:c r="BR25" t="str">
        <x:v>Unknown</x:v>
      </x:c>
      <x:c r="BS25" t="str">
        <x:v>https://openaccess.thecvf.com/content/CVPR2024/papers/Xu_Dexterous_Grasp_Transformer_CVPR_2024_paper.pdf</x:v>
      </x:c>
      <x:c r="BT25" t="str">
        <x:v>No</x:v>
      </x:c>
      <x:c r="BU25" t="str">
        <x:v>No</x:v>
      </x:c>
      <x:c r="BV25" t="str">
        <x:v>No</x:v>
      </x:c>
      <x:c r="BW25" t="str">
        <x:v>No</x:v>
      </x:c>
      <x:c r="BX25" t="str">
        <x:v>No</x:v>
      </x:c>
      <x:c r="BY25" t="str">
        <x:v>No</x:v>
      </x:c>
      <x:c r="BZ25" t="str">
        <x:v>No</x:v>
      </x:c>
      <x:c r="CA25" t="str">
        <x:v>Matched</x:v>
      </x:c>
      <x:c r="CB25" t="str">
        <x:v>Not Found After Verification</x:v>
      </x:c>
      <x:c r="CC25" t="str">
        <x:v>Not Found After Verification</x:v>
      </x:c>
      <x:c r="CD25" t="str">
        <x:v>Audit logged - deep extraction pending</x:v>
      </x:c>
      <x:c r="CE25" t="str">
        <x:v>false</x:v>
      </x:c>
      <x:c r="CF25"/>
      <x:c r="CG25" t="str">
        <x:v>研究问题：灵巧手抓取不仅要可行，还要生成多样姿态。；之前方法的问题：单一回归结果容易忽略同一物体的多个可用抓法。；核心思路：Dexterous Grasp Transformer 用判别式 Transformer 生成和筛选多样灵巧抓取。；主要结果：作者报告保持抓取质量时，预测姿态多样性优于先前方法；具体数值需核对表格。；为什么重要：提醒抓取策略不应只保留单一候选动作。；与当前项目的关系：Medium：双普通夹爪也可能需要多候选抓取与可行性筛选。；主要局限：灵巧手抓取多样性指标不能直接替代双臂任务成功率。</x:v>
      </x:c>
      <x:c r="CH25" t="str">
        <x:v>单一回归结果容易忽略同一物体的多个可用抓法。</x:v>
      </x:c>
      <x:c r="CI25" t="str">
        <x:v>Dexterous Grasp Transformer 用判别式 Transformer 生成和筛选多样灵巧抓取。</x:v>
      </x:c>
      <x:c r="CJ25"/>
      <x:c r="CK25" t="str">
        <x:v>作者报告保持抓取质量时，预测姿态多样性优于先前方法；具体数值需核对表格。</x:v>
      </x:c>
      <x:c r="CL25" t="str">
        <x:v>提醒抓取策略不应只保留单一候选动作。</x:v>
      </x:c>
      <x:c r="CM25" t="str">
        <x:v>灵巧手抓取多样性指标不能直接替代双臂任务成功率。</x:v>
      </x:c>
      <x:c r="CN25"/>
      <x:c r="CO25" t="str">
        <x:v>Medium：双普通夹爪也可能需要多候选抓取与可行性筛选。</x:v>
      </x:c>
      <x:c r="CP25" t="str">
        <x:v>官方摘要/论文页; https://openaccess.thecvf.com/content/CVPR2024/html/Xu_Dexterous_Grasp_Transformer_CVPR_2024_paper.html; 核验于 2026-09-23. 仅为摘要级速读；原 Evidence Quality 不变。 - 核验层级：摘要有可追溯来源</x:v>
      </x:c>
      <x:c r="CQ25" t="str">
        <x:v>title</x:v>
      </x:c>
      <x:c r="CR25" t="n">
        <x:v>0</x:v>
      </x:c>
      <x:c r="CS25" t="n">
        <x:v>1</x:v>
      </x:c>
    </x:row>
    <x:row r="26" ht="58" customHeight="1">
      <x:c r="A26" t="str">
        <x:v>A025</x:v>
      </x:c>
      <x:c r="B26" t="str">
        <x:v>MoManipVLA: Transferring Vision-language-action Models for General Mobile Manipulation</x:v>
      </x:c>
      <x:c r="C26" t="str">
        <x:v>Wu, Zhenyu; Zhou, Yuheng; Xu, Xiuwei; Wang, Ziwei; Yan, Haibin</x:v>
      </x:c>
      <x:c r="D26" t="n">
        <x:v>2025</x:v>
      </x:c>
      <x:c r="E26" t="str">
        <x:v>CVPR</x:v>
      </x:c>
      <x:c r="F26" t="str">
        <x:v>A</x:v>
      </x:c>
      <x:c r="G26" t="str">
        <x:v>Official Conference Paper</x:v>
      </x:c>
      <x:c r="H26" t="str">
        <x:v>Method Paper</x:v>
      </x:c>
      <x:c r="I26" t="str">
        <x:v>VLA; Robot Manipulation</x:v>
      </x:c>
      <x:c r="J26" t="str">
        <x:v>Mobile Manipulation</x:v>
      </x:c>
      <x:c r="K26" t="str">
        <x:v>Mobile Manipulation</x:v>
      </x:c>
      <x:c r="L26" t="e">
        <x:f>HYPERLINK("https://openaccess.thecvf.com/content/CVPR2025/html/Wu_MoManipVLA_Transferring_Vision-language-action_Models_for_General_Mobile_Manipulation_CVPR_2025_paper.html","论文")</x:f>
        <x:v>HYPERLINK is not implemented. linkLocation=https://openaccess.thecvf.com/content/CVPR2025/html/Wu_MoManipVLA_Transferring_Vision-language-action_Models_for_General_Mobile_Manipulation_CVPR_2025_paper.html, friendlyName=论文</x:v>
      </x:c>
      <x:c r="M26" t="str">
        <x:v>Unknown</x:v>
      </x:c>
      <x:c r="N26" t="str">
        <x:v>Unknown</x:v>
      </x:c>
      <x:c r="O26" t="str">
        <x:v>Unknown</x:v>
      </x:c>
      <x:c r="P26" t="str">
        <x:v>Unknown</x:v>
      </x:c>
      <x:c r="Q26" t="str">
        <x:v>Unknown</x:v>
      </x:c>
      <x:c r="R26" t="str">
        <x:v>Unknown</x:v>
      </x:c>
      <x:c r="S26" t="str">
        <x:v>Unknown</x:v>
      </x:c>
      <x:c r="T26" t="str">
        <x:v>Unknown</x:v>
      </x:c>
      <x:c r="U26" t="str">
        <x:v>Unknown</x:v>
      </x:c>
      <x:c r="V26" t="str">
        <x:v>Mobile Manipulator / Single Arm</x:v>
      </x:c>
      <x:c r="W26" t="str">
        <x:v>Single Arm</x:v>
      </x:c>
      <x:c r="X26" t="str">
        <x:v>Unknown</x:v>
      </x:c>
      <x:c r="Y26" t="str">
        <x:v>Yes</x:v>
      </x:c>
      <x:c r="Z26" t="str">
        <x:v>Unknown</x:v>
      </x:c>
      <x:c r="AA26" t="str">
        <x:v>Unknown</x:v>
      </x:c>
      <x:c r="AB26" t="str">
        <x:v>Unknown</x:v>
      </x:c>
      <x:c r="AC26" t="str">
        <x:v>P0</x:v>
      </x:c>
      <x:c r="AD26" t="str">
        <x:v>Official proceedings verified; CCF A via user-provided CCF 7th-edition venue mapping</x:v>
      </x:c>
      <x:c r="AE26" t="str">
        <x:v>2026-09-19</x:v>
      </x:c>
      <x:c r="AF26" t="str">
        <x:v>Formal main-conference or official conference track record verified from the official proceedings page. Unchecked metadata remains Unknown.</x:v>
      </x:c>
      <x:c r="AG26" t="str">
        <x:v>CCF A Conference</x:v>
      </x:c>
      <x:c r="AH26" t="str">
        <x:v>Official Conference Paper</x:v>
      </x:c>
      <x:c r="AI26" t="str">
        <x:v>No</x:v>
      </x:c>
      <x:c r="AJ26" t="str">
        <x:v>02_Papers/01_VLA/MoManipVLA.md</x:v>
      </x:c>
      <x:c r="AK26" t="str">
        <x:v>Strict CCF A</x:v>
      </x:c>
      <x:c r="AL26" t="str">
        <x:v>https://openaccess.thecvf.com/content/CVPR2025/html/Wu_MoManipVLA_Transferring_Vision-language-action_Models_for_General_Mobile_Manipulation_CVPR_2025_paper.html; official abstract/proceedings metadata</x:v>
      </x:c>
      <x:c r="AM26" t="str">
        <x:v>Abstract-level</x:v>
      </x:c>
      <x:c r="AN26" t="str">
        <x:v>Mobile Manipulation</x:v>
      </x:c>
      <x:c r="AO26" t="str">
        <x:v>See canonical card Research Summary; generated only from official abstract-level evidence.</x:v>
      </x:c>
      <x:c r="AP26" t="str">
        <x:v>Mobile Manipulation</x:v>
      </x:c>
      <x:c r="AQ26" t="str">
        <x:v>Real Robot=Yes; Dataset/Benchmark/Robot Platform retain Unknown when not verified.</x:v>
      </x:c>
      <x:c r="AR26" t="str">
        <x:v>** 可用于 VLA/机器人基础模型路线对比；应重点核对动作头、训练数据与真机部署成本是否适合当前平台。</x:v>
      </x:c>
      <x:c r="AS26" t="str">
        <x:v>Project-stated CCF seventh-edition mapping; official row pending where noted</x:v>
      </x:c>
      <x:c r="AT26" t="str">
        <x:v>VLA</x:v>
      </x:c>
      <x:c r="AU26" t="n">
        <x:v>0</x:v>
      </x:c>
      <x:c r="AV26" t="str">
        <x:v>OpenAlex</x:v>
      </x:c>
      <x:c r="AW26" t="str">
        <x:v>2026-09-25</x:v>
      </x:c>
      <x:c r="AX26" t="str">
        <x:v>移动操作需要跨任务和跨环境泛化；固定底座 VLA 的设置不直接覆盖移动机器人。</x:v>
      </x:c>
      <x:c r="AY26" t="str">
        <x:v>Unknown / Needs Full-Paper Verification</x:v>
      </x:c>
      <x:c r="AZ26" t="str">
        <x:v>以 `Mobile Manipulation` 为主要方法/能力线索；更细的结构和消融结论待正文核验。</x:v>
      </x:c>
      <x:c r="BA26" t="str">
        <x:v>论文报告 OVMM 与真机评测；数据集和任务细节需继续核对正文。</x:v>
      </x:c>
      <x:c r="BB26" t="str">
        <x:v>Unknown / Needs Full-Paper Verification</x:v>
      </x:c>
      <x:c r="BC26" t="str">
        <x:v>- However, conventional mobile manipulation approaches often struggle to generali</x:v>
      </x:c>
      <x:c r="BD26" t="str">
        <x:v>Real Robot 字段为 `Yes`；Dataset、Benchmark、Robot Platform 中的 Unknown 继续保留，不从题名推断。</x:v>
      </x:c>
      <x:c r="BE26" t="str">
        <x:v>OVMM Overall SR 为 15.8%，比 KUZHUM 高 4.2 个百分点；真机 Stack Block、Open Drawer、Put in Bowl 分别为 30%、10%、40%（每项 10 次）。</x:v>
      </x:c>
      <x:c r="BF26" t="str">
        <x:v>Unknown / Needs Full-Paper Verification</x:v>
      </x:c>
      <x:c r="BG26" t="str">
        <x:v>Library Analysis / Research Note: Unknown / Needs Full-Paper Verification</x:v>
      </x:c>
      <x:c r="BH26" t="str">
        <x:v>Mobile Manipulation</x:v>
      </x:c>
      <x:c r="BI26" t="str">
        <x:v>B</x:v>
      </x:c>
      <x:c r="BJ26"/>
      <x:c r="BK26" t="str">
        <x:v>Unknown / Not Explicitly Reported in the currently accessible sources.</x:v>
      </x:c>
      <x:c r="BL26" t="str">
        <x:v>Unknown / Not Explicitly Reported in the currently accessible sources.</x:v>
      </x:c>
      <x:c r="BM26" t="str">
        <x:v>https://openalex.org/W6967143107</x:v>
      </x:c>
      <x:c r="BN26" t="str">
        <x:v>https://openaccess.thecvf.com/content/CVPR2025/html/Wu_MoManipVLA_Transferring_Vision-language-action_Models_for_General_Mobile_Manipulation_CVPR_2025_paper.html；官方摘要/论文集元数据</x:v>
      </x:c>
      <x:c r="BO26" t="str">
        <x:v>B-Code-Unverified</x:v>
      </x:c>
      <x:c r="BP26" t="str">
        <x:v>Not Found</x:v>
      </x:c>
      <x:c r="BQ26" t="str">
        <x:v>Unavailable</x:v>
      </x:c>
      <x:c r="BR26" t="str">
        <x:v>Unknown</x:v>
      </x:c>
      <x:c r="BS26" t="str">
        <x:v>https://openaccess.thecvf.com/content/CVPR2025/papers/Wu_MoManipVLA_Transferring_Vision-language-action_Models_for_General_Mobile_Manipulation_CVPR_2025_paper.pdf</x:v>
      </x:c>
      <x:c r="BT26" t="str">
        <x:v>No</x:v>
      </x:c>
      <x:c r="BU26" t="str">
        <x:v>No</x:v>
      </x:c>
      <x:c r="BV26" t="str">
        <x:v>No</x:v>
      </x:c>
      <x:c r="BW26" t="str">
        <x:v>No</x:v>
      </x:c>
      <x:c r="BX26" t="str">
        <x:v>No</x:v>
      </x:c>
      <x:c r="BY26" t="str">
        <x:v>No</x:v>
      </x:c>
      <x:c r="BZ26" t="str">
        <x:v>No</x:v>
      </x:c>
      <x:c r="CA26" t="str">
        <x:v>Matched</x:v>
      </x:c>
      <x:c r="CB26" t="str">
        <x:v>Not Found After Verification</x:v>
      </x:c>
      <x:c r="CC26" t="str">
        <x:v>Not Found After Verification</x:v>
      </x:c>
      <x:c r="CD26" t="str">
        <x:v>Audit logged - deep extraction pending</x:v>
      </x:c>
      <x:c r="CE26" t="str">
        <x:v>false</x:v>
      </x:c>
      <x:c r="CF26"/>
      <x:c r="CG26" t="str">
        <x:v>研究问题：固定底座 VLA 不会生成移动底盘与机械臂协同运动轨迹。；之前方法的问题：移动操作示范昂贵，端到端方法难以覆盖多任务；分离式导航与操作可能产生错误累积。；核心思路：用预训练 VLA 生成末端 waypoint，再以 reachability、smoothness 和 collision objective 做双层底盘/机械臂轨迹优化。；输入：RGB-D、相机位姿、底盘和末端 proprioception、夹爪开合度、语言指令。；输出与动作：末端 waypoint，以及双层优化生成的移动底盘和机械臂协同轨迹。；数据集与评测基准：OVMM 仿真 benchmark 与三类移动操作真机任务。；主要结果：OVMM Overall SR 为 15.8%，比 KUZHUM 高 4.2 个百分点；真机 Stack Block、Open Drawer、Put in Bowl 分别为 30%、10%、40%（每项 10 次）。；与当前项目的关系：可参考子目标到可行轨迹的分层处理；本文没有双臂实验。</x:v>
      </x:c>
      <x:c r="CH26" t="str">
        <x:v>固定底座 VLA 不能直接解决移动机器人在不同场景中导航与操作耦合的问题。</x:v>
      </x:c>
      <x:c r="CI26" t="str">
        <x:v>MoManipVLA 将 VLA 迁移到移动操作，结合移动底座与机械臂的任务执行。具体模块以原论文为准。</x:v>
      </x:c>
      <x:c r="CJ26"/>
      <x:c r="CK26" t="str">
        <x:v>官方摘要报告在 OVMM 和真机任务中优于所比较方法，整体成功率约高 4.2%；具体实验分组需回原文核对。</x:v>
      </x:c>
      <x:c r="CL26" t="str">
        <x:v>提醒本项目区分“操作策略泛化”和“移动平台泛化”。</x:v>
      </x:c>
      <x:c r="CM26" t="str">
        <x:v>当前可核验的摘要不足以判断跨平台和长时序任务的完整失败情况。</x:v>
      </x:c>
      <x:c r="CN26"/>
      <x:c r="CO26" t="str">
        <x:v>High：有助于研究语言条件操作与 VLA 设计。</x:v>
      </x:c>
      <x:c r="CP26" t="str">
        <x:v>官方摘要/论文页; https://openaccess.thecvf.com/content/CVPR2025/html/Wu_MoManipVLA_Transferring_Vision-language-action_Models_for_General_Mobile_Manipulation_CVPR_2025_paper.html; 核验于 2026-09-23. 仅为摘要级速读；原 Evidence Quality 不变。 - 核验层级：摘要有可追溯来源</x:v>
      </x:c>
      <x:c r="CQ26" t="str">
        <x:v>doi</x:v>
      </x:c>
      <x:c r="CR26" t="n">
        <x:v>2</x:v>
      </x:c>
      <x:c r="CS26" t="n">
        <x:v>3</x:v>
      </x:c>
    </x:row>
    <x:row r="27" ht="58" customHeight="1">
      <x:c r="A27" t="str">
        <x:v>A026</x:v>
      </x:c>
      <x:c r="B27" t="str">
        <x:v>BAKU: An Efficient Transformer for Multi-Task Policy Learning</x:v>
      </x:c>
      <x:c r="C27" t="str">
        <x:v>Haldar, Siddhant; Peng, Zhuoran; Pinto, Lerrel</x:v>
      </x:c>
      <x:c r="D27" t="n">
        <x:v>2024</x:v>
      </x:c>
      <x:c r="E27" t="str">
        <x:v>NeurIPS</x:v>
      </x:c>
      <x:c r="F27" t="str">
        <x:v>A</x:v>
      </x:c>
      <x:c r="G27" t="str">
        <x:v>Official Conference Paper</x:v>
      </x:c>
      <x:c r="H27" t="str">
        <x:v>Method Paper</x:v>
      </x:c>
      <x:c r="I27" t="str">
        <x:v>Robot Manipulation; Imitation Learning</x:v>
      </x:c>
      <x:c r="J27" t="str">
        <x:v>Action Chunking / Multi-task Policy</x:v>
      </x:c>
      <x:c r="K27" t="str">
        <x:v>Action Chunking / Multi-task Policy</x:v>
      </x:c>
      <x:c r="L27" t="e">
        <x:f>HYPERLINK("https://proceedings.neurips.cc/paper_files/paper/2024/hash/ff887781480973bd3cb6026feb378d1e-Abstract-Conference.html","论文")</x:f>
        <x:v>HYPERLINK is not implemented. linkLocation=https://proceedings.neurips.cc/paper_files/paper/2024/hash/ff887781480973bd3cb6026feb378d1e-Abstract-Conference.html, friendlyName=论文</x:v>
      </x:c>
      <x:c r="M27" t="e">
        <x:f>HYPERLINK("https://doi.org/10.52202/079017-4484","DOI")</x:f>
        <x:v>HYPERLINK is not implemented. linkLocation=https://doi.org/10.52202/079017-4484, friendlyName=DOI</x:v>
      </x:c>
      <x:c r="N27" t="str">
        <x:v>Unknown</x:v>
      </x:c>
      <x:c r="O27" t="str">
        <x:v>Unknown</x:v>
      </x:c>
      <x:c r="P27" t="str">
        <x:v>Unknown</x:v>
      </x:c>
      <x:c r="Q27" t="str">
        <x:v>Unknown</x:v>
      </x:c>
      <x:c r="R27" t="str">
        <x:v>Unknown</x:v>
      </x:c>
      <x:c r="S27" t="str">
        <x:v>Unknown</x:v>
      </x:c>
      <x:c r="T27" t="str">
        <x:v>Unknown</x:v>
      </x:c>
      <x:c r="U27" t="str">
        <x:v>Unknown</x:v>
      </x:c>
      <x:c r="V27" t="str">
        <x:v>Single Arm / Parallel Gripper</x:v>
      </x:c>
      <x:c r="W27" t="str">
        <x:v>Single Arm</x:v>
      </x:c>
      <x:c r="X27" t="str">
        <x:v>Parallel Gripper</x:v>
      </x:c>
      <x:c r="Y27" t="str">
        <x:v>Yes</x:v>
      </x:c>
      <x:c r="Z27" t="str">
        <x:v>Unknown</x:v>
      </x:c>
      <x:c r="AA27" t="str">
        <x:v>Unknown</x:v>
      </x:c>
      <x:c r="AB27" t="str">
        <x:v>Unknown</x:v>
      </x:c>
      <x:c r="AC27" t="str">
        <x:v>P0</x:v>
      </x:c>
      <x:c r="AD27" t="str">
        <x:v>Official proceedings verified; CCF A via user-provided CCF 7th-edition venue mapping</x:v>
      </x:c>
      <x:c r="AE27" t="str">
        <x:v>2026-09-19</x:v>
      </x:c>
      <x:c r="AF27" t="str">
        <x:v>Formal main-conference or official conference track record verified from the official proceedings page. Unchecked metadata remains Unknown.</x:v>
      </x:c>
      <x:c r="AG27" t="str">
        <x:v>CCF A Conference</x:v>
      </x:c>
      <x:c r="AH27" t="str">
        <x:v>Official Conference Paper</x:v>
      </x:c>
      <x:c r="AI27" t="str">
        <x:v>No</x:v>
      </x:c>
      <x:c r="AJ27" t="str">
        <x:v>02_Papers/06_Diffusion_Flow_IL_RL/BAKU.md</x:v>
      </x:c>
      <x:c r="AK27" t="str">
        <x:v>Strict CCF A</x:v>
      </x:c>
      <x:c r="AL27" t="str">
        <x:v>https://proceedings.neurips.cc/paper_files/paper/2024/hash/ff887781480973bd3cb6026feb378d1e-Abstract-Conference.html; official abstract/proceedings metadata</x:v>
      </x:c>
      <x:c r="AM27" t="str">
        <x:v>Abstract-level</x:v>
      </x:c>
      <x:c r="AN27" t="str">
        <x:v>Action Chunking / Multi-task Policy</x:v>
      </x:c>
      <x:c r="AO27" t="str">
        <x:v>See canonical card Research Summary; generated only from official abstract-level evidence.</x:v>
      </x:c>
      <x:c r="AP27" t="str">
        <x:v>Action Chunking / Multi-task Policy</x:v>
      </x:c>
      <x:c r="AQ27" t="str">
        <x:v>Real Robot=Yes; Dataset/Benchmark/Robot Platform retain Unknown when not verified.</x:v>
      </x:c>
      <x:c r="AR27" t="str">
        <x:v>** 与机器人操作、模仿学习或策略泛化相关；是否进入 L2/L3 取决于与双臂普通夹爪平台的可迁移性。</x:v>
      </x:c>
      <x:c r="AS27" t="str">
        <x:v>Project-stated CCF seventh-edition mapping; official row pending where noted</x:v>
      </x:c>
      <x:c r="AT27" t="str">
        <x:v>Diffusion / Flow / IL / RL</x:v>
      </x:c>
      <x:c r="AU27" t="n">
        <x:v>17</x:v>
      </x:c>
      <x:c r="AV27" t="str">
        <x:v>OpenAlex</x:v>
      </x:c>
      <x:c r="AW27" t="str">
        <x:v>2026-09-25</x:v>
      </x:c>
      <x:c r="AX27" t="str">
        <x:v>多任务机器人策略通常需要大量专家示范。</x:v>
      </x:c>
      <x:c r="AY27" t="str">
        <x:v>Unknown / Needs Full-Paper Verification</x:v>
      </x:c>
      <x:c r="AZ27" t="str">
        <x:v>以 `Action Chunking / Multi-task Policy` 为主要方法/能力线索；更细的结构和消融结论待正文核验。</x:v>
      </x:c>
      <x:c r="BA27" t="str">
        <x:v>已核验摘要未明确说明；需查阅论文方法与实验章节。</x:v>
      </x:c>
      <x:c r="BB27" t="str">
        <x:v>Unknown / Needs Full-Paper Verification</x:v>
      </x:c>
      <x:c r="BC27" t="str">
        <x:v>- In this work, we present BAKU, a simple transformer architecture that enables efficient learning of multi-task robot policies.</x:v>
      </x:c>
      <x:c r="BD27" t="str">
        <x:v>Real Robot 字段为 `Yes`；Dataset、Benchmark、Robot Platform 中的 Unknown 继续保留，不从题名推断。</x:v>
      </x:c>
      <x:c r="BE27" t="str">
        <x:v>论文报告 30 项真机操作任务、每项平均约 17 条示范时，成功率达 91%。</x:v>
      </x:c>
      <x:c r="BF27" t="str">
        <x:v>Unknown / Needs Full-Paper Verification</x:v>
      </x:c>
      <x:c r="BG27" t="str">
        <x:v>Library Analysis / Research Note: Unknown / Needs Full-Paper Verification</x:v>
      </x:c>
      <x:c r="BH27" t="str">
        <x:v>Action Chunking / Multi-task Policy</x:v>
      </x:c>
      <x:c r="BI27" t="str">
        <x:v>B</x:v>
      </x:c>
      <x:c r="BJ27"/>
      <x:c r="BK27" t="str">
        <x:v>Unknown / Not Explicitly Reported in the currently accessible sources.</x:v>
      </x:c>
      <x:c r="BL27" t="str">
        <x:v>Unknown / Not Explicitly Reported in the currently accessible sources.</x:v>
      </x:c>
      <x:c r="BM27" t="str">
        <x:v>https://openalex.org/W4415800339</x:v>
      </x:c>
      <x:c r="BN27" t="str">
        <x:v>https://proceedings.neurips.cc/paper_files/paper/2024/hash/ff887781480973bd3cb6026feb378d1e-Abstract-Conference.html；官方摘要/论文集元数据</x:v>
      </x:c>
      <x:c r="BO27" t="str">
        <x:v>B-Code-Unverified</x:v>
      </x:c>
      <x:c r="BP27" t="str">
        <x:v>Not Found</x:v>
      </x:c>
      <x:c r="BQ27" t="str">
        <x:v>Unavailable</x:v>
      </x:c>
      <x:c r="BR27" t="str">
        <x:v>Unknown</x:v>
      </x:c>
      <x:c r="BS27" t="str">
        <x:v>https://proceedings.neurips.cc/paper_files/paper/2024/file/ff887781480973bd3cb6026feb378d1e-Paper-Conference.pdf</x:v>
      </x:c>
      <x:c r="BT27" t="str">
        <x:v>No</x:v>
      </x:c>
      <x:c r="BU27" t="str">
        <x:v>No</x:v>
      </x:c>
      <x:c r="BV27" t="str">
        <x:v>No</x:v>
      </x:c>
      <x:c r="BW27" t="str">
        <x:v>No</x:v>
      </x:c>
      <x:c r="BX27" t="str">
        <x:v>No</x:v>
      </x:c>
      <x:c r="BY27" t="str">
        <x:v>No</x:v>
      </x:c>
      <x:c r="BZ27" t="str">
        <x:v>No</x:v>
      </x:c>
      <x:c r="CA27" t="str">
        <x:v>Matched</x:v>
      </x:c>
      <x:c r="CB27" t="str">
        <x:v>Not Found After Verification</x:v>
      </x:c>
      <x:c r="CC27" t="str">
        <x:v>Not Found After Verification</x:v>
      </x:c>
      <x:c r="CD27" t="str">
        <x:v>Audit logged - deep extraction pending</x:v>
      </x:c>
      <x:c r="CE27" t="str">
        <x:v>false</x:v>
      </x:c>
      <x:c r="CF27"/>
      <x:c r="CG27" t="str">
        <x:v>研究问题：多任务机器人策略通常需要大量专家示范。；之前方法的问题：复杂通用策略可能难以在少量示范下稳定学习。；核心思路：BAKU 用相对简洁的 Transformer 架构训练多任务机器人策略。；主要结果：论文报告 30 项真机操作任务、每项平均约 17 条示范时，成功率达 91%。；为什么重要：为小数据多任务操作提供实证基线。；与当前项目的关系：High：双臂示范昂贵，值得比较数据效率。；主要局限：30 项任务的本体与任务分布未必覆盖本项目的双臂普通夹爪。</x:v>
      </x:c>
      <x:c r="CH27" t="str">
        <x:v>复杂通用策略可能难以在少量示范下稳定学习。</x:v>
      </x:c>
      <x:c r="CI27" t="str">
        <x:v>BAKU 用相对简洁的 Transformer 架构训练多任务机器人策略。</x:v>
      </x:c>
      <x:c r="CJ27"/>
      <x:c r="CK27" t="str">
        <x:v>论文报告 30 项真机操作任务、每项平均约 17 条示范时，成功率达 91%。</x:v>
      </x:c>
      <x:c r="CL27" t="str">
        <x:v>为小数据多任务操作提供实证基线。</x:v>
      </x:c>
      <x:c r="CM27" t="str">
        <x:v>30 项任务的本体与任务分布未必覆盖本项目的双臂普通夹爪。</x:v>
      </x:c>
      <x:c r="CN27"/>
      <x:c r="CO27" t="str">
        <x:v>High：双臂示范昂贵，值得比较数据效率。</x:v>
      </x:c>
      <x:c r="CP27" t="str">
        <x:v>官方摘要/论文页; https://proceedings.neurips.cc/paper_files/paper/2024/hash/ff887781480973bd3cb6026feb378d1e-Abstract-Conference.html; 核验于 2026-09-23. 仅为摘要级速读；原 Evidence Quality 不变。 - 核验层级：摘要有可追溯来源</x:v>
      </x:c>
      <x:c r="CQ27" t="str">
        <x:v>doi</x:v>
      </x:c>
      <x:c r="CR27" t="n">
        <x:v>0</x:v>
      </x:c>
      <x:c r="CS27" t="n">
        <x:v>2</x:v>
      </x:c>
    </x:row>
    <x:row r="28" ht="58" customHeight="1">
      <x:c r="A28" t="str">
        <x:v>A027</x:v>
      </x:c>
      <x:c r="B28" t="str">
        <x:v>SurgicAI: A Hierarchical Platform for Fine-Grained Surgical Policy Learning and Benchmarking</x:v>
      </x:c>
      <x:c r="C28" t="str">
        <x:v>Wu, Jin; Zhou, Haoying; Kazanzides, Peter; Munawar, Adnan; Liu, Anqi</x:v>
      </x:c>
      <x:c r="D28" t="n">
        <x:v>2024</x:v>
      </x:c>
      <x:c r="E28" t="str">
        <x:v>NeurIPS</x:v>
      </x:c>
      <x:c r="F28" t="str">
        <x:v>A</x:v>
      </x:c>
      <x:c r="G28" t="str">
        <x:v>Official Conference Paper</x:v>
      </x:c>
      <x:c r="H28" t="str">
        <x:v>Dataset / Benchmark</x:v>
      </x:c>
      <x:c r="I28" t="str">
        <x:v>Dataset / Benchmark; Robot Manipulation</x:v>
      </x:c>
      <x:c r="J28" t="str">
        <x:v>Surgical Robotics</x:v>
      </x:c>
      <x:c r="K28" t="str">
        <x:v>Surgical Robotics</x:v>
      </x:c>
      <x:c r="L28" t="e">
        <x:f>HYPERLINK("https://proceedings.neurips.cc/paper_files/paper/2024/hash/74c4f2b87b7499d365422152c76fd916-Abstract-Datasets_and_Benchmarks_Track.html","论文")</x:f>
        <x:v>HYPERLINK is not implemented. linkLocation=https://proceedings.neurips.cc/paper_files/paper/2024/hash/74c4f2b87b7499d365422152c76fd916-Abstract-Datasets_and_Benchmarks_Track.html, friendlyName=论文</x:v>
      </x:c>
      <x:c r="M28" t="e">
        <x:f>HYPERLINK("https://doi.org/10.52202/079017-2037","DOI")</x:f>
        <x:v>HYPERLINK is not implemented. linkLocation=https://doi.org/10.52202/079017-2037, friendlyName=DOI</x:v>
      </x:c>
      <x:c r="N28" t="str">
        <x:v>Unknown</x:v>
      </x:c>
      <x:c r="O28" t="str">
        <x:v>Unknown</x:v>
      </x:c>
      <x:c r="P28" t="e">
        <x:f>HYPERLINK("https://github.com/surgical-robotics-ai/SurgicAI","GitHub")</x:f>
        <x:v>HYPERLINK is not implemented. linkLocation=https://github.com/surgical-robotics-ai/SurgicAI, friendlyName=GitHub</x:v>
      </x:c>
      <x:c r="Q28" t="str">
        <x:v>Released</x:v>
      </x:c>
      <x:c r="R28" t="str">
        <x:v>Unknown</x:v>
      </x:c>
      <x:c r="S28" t="str">
        <x:v>Unknown</x:v>
      </x:c>
      <x:c r="T28" t="str">
        <x:v>Unknown</x:v>
      </x:c>
      <x:c r="U28" t="str">
        <x:v>Unknown</x:v>
      </x:c>
      <x:c r="V28" t="str">
        <x:v>Bimanual / Surgical Robot</x:v>
      </x:c>
      <x:c r="W28" t="str">
        <x:v>Bimanual</x:v>
      </x:c>
      <x:c r="X28" t="str">
        <x:v>Unknown</x:v>
      </x:c>
      <x:c r="Y28" t="str">
        <x:v>No</x:v>
      </x:c>
      <x:c r="Z28" t="str">
        <x:v>Unknown</x:v>
      </x:c>
      <x:c r="AA28" t="str">
        <x:v>Unknown</x:v>
      </x:c>
      <x:c r="AB28" t="str">
        <x:v>Unknown</x:v>
      </x:c>
      <x:c r="AC28" t="str">
        <x:v>P2</x:v>
      </x:c>
      <x:c r="AD28" t="str">
        <x:v>Official proceedings verified; CCF A via user-provided CCF 7th-edition venue mapping</x:v>
      </x:c>
      <x:c r="AE28" t="str">
        <x:v>2026-09-19</x:v>
      </x:c>
      <x:c r="AF28" t="str">
        <x:v>Formal main-conference or official conference track record verified from the official proceedings page. Unchecked metadata remains Unknown.</x:v>
      </x:c>
      <x:c r="AG28" t="str">
        <x:v>CCF A Conference</x:v>
      </x:c>
      <x:c r="AH28" t="str">
        <x:v>Official Conference Paper</x:v>
      </x:c>
      <x:c r="AI28" t="str">
        <x:v>No</x:v>
      </x:c>
      <x:c r="AJ28" t="str">
        <x:v>02_Papers/10_Benchmark_Dataset/SurgicAI.md</x:v>
      </x:c>
      <x:c r="AK28" t="str">
        <x:v>Strict CCF A</x:v>
      </x:c>
      <x:c r="AL28" t="str">
        <x:v>https://proceedings.neurips.cc/paper_files/paper/2024/hash/74c4f2b87b7499d365422152c76fd916-Abstract-Datasets_and_Benchmarks_Track.html; official abstract/proceedings metadata</x:v>
      </x:c>
      <x:c r="AM28" t="str">
        <x:v>Abstract-level</x:v>
      </x:c>
      <x:c r="AN28" t="str">
        <x:v>Surgical Robotics</x:v>
      </x:c>
      <x:c r="AO28" t="str">
        <x:v>See canonical card Research Summary; generated only from official abstract-level evidence.</x:v>
      </x:c>
      <x:c r="AP28" t="str">
        <x:v>Surgical Robotics</x:v>
      </x:c>
      <x:c r="AQ28" t="str">
        <x:v>Real Robot=No; Dataset/Benchmark/Robot Platform retain Unknown when not verified.</x:v>
      </x:c>
      <x:c r="AR28" t="str">
        <x:v>** 与 NERO 双臂、普通夹爪、示范采集和双臂策略学习直接相关，优先评估动作表示与协同控制是否可迁移。</x:v>
      </x:c>
      <x:c r="AS28" t="str">
        <x:v>Project-stated CCF seventh-edition mapping; official row pending where noted</x:v>
      </x:c>
      <x:c r="AT28" t="str">
        <x:v>Benchmark / Dataset</x:v>
      </x:c>
      <x:c r="AU28" t="n">
        <x:v>14</x:v>
      </x:c>
      <x:c r="AV28" t="str">
        <x:v>Semantic Scholar</x:v>
      </x:c>
      <x:c r="AW28" t="str">
        <x:v>2026-09-25</x:v>
      </x:c>
      <x:c r="AX28" t="str">
        <x:v>手术机器人自动缝合等复杂任务需要高精度和适应变化的控制。</x:v>
      </x:c>
      <x:c r="AY28" t="str">
        <x:v>Unknown / Needs Full-Paper Verification</x:v>
      </x:c>
      <x:c r="AZ28" t="str">
        <x:v>以 `Surgical Robotics` 为主要方法/能力线索；更细的结构和消融结论待正文核验。</x:v>
      </x:c>
      <x:c r="BA28" t="str">
        <x:v>SurgicAI 手术机器人基准；任务与数据规模需查正文。</x:v>
      </x:c>
      <x:c r="BB28" t="str">
        <x:v>Unknown / Needs Full-Paper Verification</x:v>
      </x:c>
      <x:c r="BC28" t="str">
        <x:v>- We introduce SurgicAI, a novel platform for development and benchmarking that addresses these challenges by providing the flexibility to accommodate both modular subtasks and more importantly task decomposition in RL-based surgical robotics.</x:v>
      </x:c>
      <x:c r="BD28" t="str">
        <x:v>Real Robot 字段为 `No`；Dataset、Benchmark、Robot Platform 中的 Unknown 继续保留，不从题名推断。</x:v>
      </x:c>
      <x:c r="BE28" t="str">
        <x:v>摘要没有给出足够明确、可复述的量化性能。</x:v>
      </x:c>
      <x:c r="BF28" t="str">
        <x:v>Unknown / Needs Full-Paper Verification</x:v>
      </x:c>
      <x:c r="BG28" t="str">
        <x:v>Library Analysis / Research Note: Unknown / Needs Full-Paper Verification</x:v>
      </x:c>
      <x:c r="BH28" t="str">
        <x:v>Surgical Robotics</x:v>
      </x:c>
      <x:c r="BI28" t="str">
        <x:v>B</x:v>
      </x:c>
      <x:c r="BJ28"/>
      <x:c r="BK28" t="str">
        <x:v>Unknown / Not Explicitly Reported in the currently accessible sources.</x:v>
      </x:c>
      <x:c r="BL28" t="str">
        <x:v>Unknown / Not Explicitly Reported in the currently accessible sources.</x:v>
      </x:c>
      <x:c r="BM28" t="str">
        <x:v>https://www.semanticscholar.org/paper/f344e82d0d4f5e97c3d6176fd4b953a8c6c72d45</x:v>
      </x:c>
      <x:c r="BN28" t="str">
        <x:v>https://proceedings.neurips.cc/paper_files/paper/2024/hash/74c4f2b87b7499d365422152c76fd916-Abstract-Datasets_and_Benchmarks_Track.html；官方摘要/论文集元数据</x:v>
      </x:c>
      <x:c r="BO28" t="str">
        <x:v>B-Fulltext-Unavailable</x:v>
      </x:c>
      <x:c r="BP28" t="str">
        <x:v>Not Found</x:v>
      </x:c>
      <x:c r="BQ28" t="str">
        <x:v>Mostly Complete</x:v>
      </x:c>
      <x:c r="BR28" t="str">
        <x:v>Unknown</x:v>
      </x:c>
      <x:c r="BS28" t="str">
        <x:v>https://proceedings.neurips.cc/paper_files/paper/2024/file/74c4f2b87b7499d365422152c76fd916-Paper-Datasets_and_Benchmarks_Track.pdf</x:v>
      </x:c>
      <x:c r="BT28" t="str">
        <x:v>No</x:v>
      </x:c>
      <x:c r="BU28" t="str">
        <x:v>No</x:v>
      </x:c>
      <x:c r="BV28" t="str">
        <x:v>No</x:v>
      </x:c>
      <x:c r="BW28" t="str">
        <x:v>No</x:v>
      </x:c>
      <x:c r="BX28" t="str">
        <x:v>No</x:v>
      </x:c>
      <x:c r="BY28" t="str">
        <x:v>No</x:v>
      </x:c>
      <x:c r="BZ28" t="str">
        <x:v>No</x:v>
      </x:c>
      <x:c r="CA28" t="str">
        <x:v>Matched</x:v>
      </x:c>
      <x:c r="CB28" t="str">
        <x:v>Not Found After Verification</x:v>
      </x:c>
      <x:c r="CC28" t="str">
        <x:v>Not Found After Verification</x:v>
      </x:c>
      <x:c r="CD28" t="str">
        <x:v>Audit logged - deep extraction pending</x:v>
      </x:c>
      <x:c r="CE28" t="str">
        <x:v>false</x:v>
      </x:c>
      <x:c r="CF28"/>
      <x:c r="CG28" t="str">
        <x:v>研究问题：手术机器人自动缝合等复杂任务需要高精度和适应变化的控制。；之前方法的问题：既有平台多局限于简单、低灵巧度操作，难以灵活支持分解式强化学习。；核心思路：SurgicAI 构建手术机器人开发与评测平台，支持模块化子任务及强化学习任务分解。；主要结果：摘要没有给出足够明确、可复述的量化性能。；为什么重要：为复杂长程任务的子任务拆解提供特定领域案例。；与当前项目的关系：Medium：任务分解思路可借鉴，但手术场景与本项目普通夹爪任务不同。；主要局限：摘要不能证明该平台上的策略能迁移到一般家庭操作。</x:v>
      </x:c>
      <x:c r="CH28" t="str">
        <x:v>既有平台多局限于简单、低灵巧度操作，难以灵活支持分解式强化学习。</x:v>
      </x:c>
      <x:c r="CI28" t="str">
        <x:v>SurgicAI 构建手术机器人开发与评测平台，支持模块化子任务及强化学习任务分解。</x:v>
      </x:c>
      <x:c r="CJ28"/>
      <x:c r="CK28" t="str">
        <x:v>摘要没有给出足够明确、可复述的量化性能。</x:v>
      </x:c>
      <x:c r="CL28" t="str">
        <x:v>为复杂长程任务的子任务拆解提供特定领域案例。</x:v>
      </x:c>
      <x:c r="CM28" t="str">
        <x:v>摘要不能证明该平台上的策略能迁移到一般家庭操作。</x:v>
      </x:c>
      <x:c r="CN28"/>
      <x:c r="CO28" t="str">
        <x:v>Medium：任务分解思路可借鉴，但手术场景与本项目普通夹爪任务不同。</x:v>
      </x:c>
      <x:c r="CP28" t="str">
        <x:v>官方摘要/论文页; https://proceedings.neurips.cc/paper_files/paper/2024/hash/74c4f2b87b7499d365422152c76fd916-Abstract-Datasets_and_Benchmarks_Track.html; 核验于 2026-09-23. 仅为摘要级速读；原 Evidence Quality 不变。 - 核验层级：摘要有可追溯来源</x:v>
      </x:c>
      <x:c r="CQ28" t="str">
        <x:v>doi</x:v>
      </x:c>
      <x:c r="CR28" t="n">
        <x:v>0</x:v>
      </x:c>
      <x:c r="CS28" t="n">
        <x:v>0</x:v>
      </x:c>
    </x:row>
    <x:row r="29" ht="58" customHeight="1">
      <x:c r="A29" t="str">
        <x:v>A028</x:v>
      </x:c>
      <x:c r="B29" t="str">
        <x:v>Robot Policy Learning with Temporal Optimal Transport Reward</x:v>
      </x:c>
      <x:c r="C29" t="str">
        <x:v>Fu, Yuwei; Zhang, Haichao; Wu, Di; Xu, Wei; Boulet, Benoit</x:v>
      </x:c>
      <x:c r="D29" t="n">
        <x:v>2024</x:v>
      </x:c>
      <x:c r="E29" t="str">
        <x:v>NeurIPS</x:v>
      </x:c>
      <x:c r="F29" t="str">
        <x:v>A</x:v>
      </x:c>
      <x:c r="G29" t="str">
        <x:v>Official Conference Paper</x:v>
      </x:c>
      <x:c r="H29" t="str">
        <x:v>Method Paper</x:v>
      </x:c>
      <x:c r="I29" t="str">
        <x:v>Robot Manipulation; Reinforcement Learning</x:v>
      </x:c>
      <x:c r="J29" t="str">
        <x:v>Video Demonstration / Reward Learning</x:v>
      </x:c>
      <x:c r="K29" t="str">
        <x:v>Video Demonstration / Reward Learning</x:v>
      </x:c>
      <x:c r="L29" t="e">
        <x:f>HYPERLINK("https://proceedings.neurips.cc/paper_files/paper/2024/hash/dcd297696d0bb304ba426b3c5a679c37-Abstract-Conference.html","论文")</x:f>
        <x:v>HYPERLINK is not implemented. linkLocation=https://proceedings.neurips.cc/paper_files/paper/2024/hash/dcd297696d0bb304ba426b3c5a679c37-Abstract-Conference.html, friendlyName=论文</x:v>
      </x:c>
      <x:c r="M29" t="e">
        <x:f>HYPERLINK("https://doi.org/10.52202/079017-3879","DOI")</x:f>
        <x:v>HYPERLINK is not implemented. linkLocation=https://doi.org/10.52202/079017-3879, friendlyName=DOI</x:v>
      </x:c>
      <x:c r="N29" t="str">
        <x:v>Unknown</x:v>
      </x:c>
      <x:c r="O29" t="str">
        <x:v>Unknown</x:v>
      </x:c>
      <x:c r="P29" t="e">
        <x:f>HYPERLINK("https://github.com/fuyw/TemporalOT","GitHub")</x:f>
        <x:v>HYPERLINK is not implemented. linkLocation=https://github.com/fuyw/TemporalOT, friendlyName=GitHub</x:v>
      </x:c>
      <x:c r="Q29" t="str">
        <x:v>Released</x:v>
      </x:c>
      <x:c r="R29" t="str">
        <x:v>Unknown</x:v>
      </x:c>
      <x:c r="S29" t="str">
        <x:v>Unknown</x:v>
      </x:c>
      <x:c r="T29" t="str">
        <x:v>Unknown</x:v>
      </x:c>
      <x:c r="U29" t="str">
        <x:v>Unknown</x:v>
      </x:c>
      <x:c r="V29" t="str">
        <x:v>Simulation Only</x:v>
      </x:c>
      <x:c r="W29" t="str">
        <x:v>Unknown</x:v>
      </x:c>
      <x:c r="X29" t="str">
        <x:v>Unknown</x:v>
      </x:c>
      <x:c r="Y29" t="str">
        <x:v>No</x:v>
      </x:c>
      <x:c r="Z29" t="str">
        <x:v>Unknown</x:v>
      </x:c>
      <x:c r="AA29" t="str">
        <x:v>Unknown</x:v>
      </x:c>
      <x:c r="AB29" t="str">
        <x:v>Simulation Only</x:v>
      </x:c>
      <x:c r="AC29" t="str">
        <x:v>P1</x:v>
      </x:c>
      <x:c r="AD29" t="str">
        <x:v>Official proceedings verified; CCF A via user-provided CCF 7th-edition venue mapping</x:v>
      </x:c>
      <x:c r="AE29" t="str">
        <x:v>2026-09-19</x:v>
      </x:c>
      <x:c r="AF29" t="str">
        <x:v>Formal main-conference or official conference track record verified from the official proceedings page. Unchecked metadata remains Unknown.</x:v>
      </x:c>
      <x:c r="AG29" t="str">
        <x:v>CCF A Conference</x:v>
      </x:c>
      <x:c r="AH29" t="str">
        <x:v>Official Conference Paper</x:v>
      </x:c>
      <x:c r="AI29" t="str">
        <x:v>No</x:v>
      </x:c>
      <x:c r="AJ29" t="str">
        <x:v>02_Papers/06_Diffusion_Flow_IL_RL/Robot_Policy_Learning_with_Temporal_Optimal_Transport_Reward.md</x:v>
      </x:c>
      <x:c r="AK29" t="str">
        <x:v>Strict CCF A</x:v>
      </x:c>
      <x:c r="AL29" t="str">
        <x:v>https://proceedings.neurips.cc/paper_files/paper/2024/hash/dcd297696d0bb304ba426b3c5a679c37-Abstract-Conference.html; official abstract/proceedings metadata</x:v>
      </x:c>
      <x:c r="AM29" t="str">
        <x:v>Abstract-level</x:v>
      </x:c>
      <x:c r="AN29" t="str">
        <x:v>Video Demonstration / Reward Learning</x:v>
      </x:c>
      <x:c r="AO29" t="str">
        <x:v>See canonical card Research Summary; generated only from official abstract-level evidence.</x:v>
      </x:c>
      <x:c r="AP29" t="str">
        <x:v>Video Demonstration / Reward Learning</x:v>
      </x:c>
      <x:c r="AQ29" t="str">
        <x:v>Real Robot=No; Dataset/Benchmark/Robot Platform retain Unknown when not verified.</x:v>
      </x:c>
      <x:c r="AR29" t="str">
        <x:v>** 与机器人操作、模仿学习或策略泛化相关；是否进入 L2/L3 取决于与双臂普通夹爪平台的可迁移性。</x:v>
      </x:c>
      <x:c r="AS29" t="str">
        <x:v>Project-stated CCF seventh-edition mapping; official row pending where noted</x:v>
      </x:c>
      <x:c r="AT29" t="str">
        <x:v>Diffusion / Flow / IL / RL</x:v>
      </x:c>
      <x:c r="AU29" t="n">
        <x:v>1</x:v>
      </x:c>
      <x:c r="AV29" t="str">
        <x:v>OpenAlex</x:v>
      </x:c>
      <x:c r="AW29" t="str">
        <x:v>2026-09-25</x:v>
      </x:c>
      <x:c r="AX29" t="str">
        <x:v>强化学习的奖励设计通常要大量人工工程。</x:v>
      </x:c>
      <x:c r="AY29" t="str">
        <x:v>Unknown / Needs Full-Paper Verification</x:v>
      </x:c>
      <x:c r="AZ29" t="str">
        <x:v>以 `Video Demonstration / Reward Learning` 为主要方法/能力线索；更细的结构和消融结论待正文核验。</x:v>
      </x:c>
      <x:c r="BA29" t="str">
        <x:v>已核验摘要未明确说明；需查阅论文方法与实验章节。</x:v>
      </x:c>
      <x:c r="BB29" t="str">
        <x:v>Unknown / Needs Full-Paper Verification</x:v>
      </x:c>
      <x:c r="BC29" t="str">
        <x:v>- To address this issue, in this paper, we introduce the Temporal Optimal Transport (TemporalOT) reward to incorporate temporal order information for learning a more accurate OT-based proxy reward.</x:v>
      </x:c>
      <x:c r="BD29" t="str">
        <x:v>Real Robot 字段为 `No`；Dataset、Benchmark、Robot Platform 中的 Unknown 继续保留，不从题名推断。</x:v>
      </x:c>
      <x:c r="BE29" t="str">
        <x:v>已核验摘要没有可安全复述的统一量化结果。</x:v>
      </x:c>
      <x:c r="BF29" t="str">
        <x:v>Unknown / Needs Full-Paper Verification</x:v>
      </x:c>
      <x:c r="BG29" t="str">
        <x:v>Library Analysis / Research Note: Unknown / Needs Full-Paper Verification</x:v>
      </x:c>
      <x:c r="BH29" t="str">
        <x:v>Video Demonstration / Reward Learning</x:v>
      </x:c>
      <x:c r="BI29" t="str">
        <x:v>B</x:v>
      </x:c>
      <x:c r="BJ29"/>
      <x:c r="BK29" t="str">
        <x:v>Unknown / Not Explicitly Reported in the currently accessible sources.</x:v>
      </x:c>
      <x:c r="BL29" t="str">
        <x:v>Unknown / Not Explicitly Reported in the currently accessible sources.</x:v>
      </x:c>
      <x:c r="BM29" t="str">
        <x:v>https://openalex.org/W4415795570</x:v>
      </x:c>
      <x:c r="BN29" t="str">
        <x:v>https://proceedings.neurips.cc/paper_files/paper/2024/hash/dcd297696d0bb304ba426b3c5a679c37-Abstract-Conference.html；官方摘要/论文集元数据</x:v>
      </x:c>
      <x:c r="BO29" t="str">
        <x:v>B-Fulltext-Unavailable</x:v>
      </x:c>
      <x:c r="BP29" t="str">
        <x:v>Not Found</x:v>
      </x:c>
      <x:c r="BQ29" t="str">
        <x:v>Mostly Complete</x:v>
      </x:c>
      <x:c r="BR29" t="str">
        <x:v>Unknown</x:v>
      </x:c>
      <x:c r="BS29" t="str">
        <x:v>https://proceedings.neurips.cc/paper_files/paper/2024/file/dcd297696d0bb304ba426b3c5a679c37-Paper-Conference.pdf</x:v>
      </x:c>
      <x:c r="BT29" t="str">
        <x:v>No</x:v>
      </x:c>
      <x:c r="BU29" t="str">
        <x:v>No</x:v>
      </x:c>
      <x:c r="BV29" t="str">
        <x:v>No</x:v>
      </x:c>
      <x:c r="BW29" t="str">
        <x:v>No</x:v>
      </x:c>
      <x:c r="BX29" t="str">
        <x:v>No</x:v>
      </x:c>
      <x:c r="BY29" t="str">
        <x:v>No</x:v>
      </x:c>
      <x:c r="BZ29" t="str">
        <x:v>No</x:v>
      </x:c>
      <x:c r="CA29" t="str">
        <x:v>Matched</x:v>
      </x:c>
      <x:c r="CB29" t="str">
        <x:v>Not Found After Verification</x:v>
      </x:c>
      <x:c r="CC29" t="str">
        <x:v>Not Found After Verification</x:v>
      </x:c>
      <x:c r="CD29" t="str">
        <x:v>Audit logged - deep extraction pending</x:v>
      </x:c>
      <x:c r="CE29" t="str">
        <x:v>false</x:v>
      </x:c>
      <x:c r="CF29"/>
      <x:c r="CG29" t="str">
        <x:v>研究问题：强化学习的奖励设计通常要大量人工工程。；之前方法的问题：只比较单帧状态容易忽略示范中的动作时间顺序。；核心思路：Temporal Optimal Transport Reward 把时间顺序纳入示范与策略轨迹的匹配，构造学习奖励。；主要结果：已核验摘要没有可安全复述的统一量化结果。；为什么重要：为长时序操作提供不依赖逐步手写奖励的方向。；与当前项目的关系：Medium：双臂轨迹评价可参考，但真实接触仍需验证。；主要局限：时间对齐错误可能误导奖励；需审计长任务失败样例。</x:v>
      </x:c>
      <x:c r="CH29" t="str">
        <x:v>只比较单帧状态容易忽略示范中的动作时间顺序。</x:v>
      </x:c>
      <x:c r="CI29" t="str">
        <x:v>Temporal Optimal Transport Reward 把时间顺序纳入示范与策略轨迹的匹配，构造学习奖励。</x:v>
      </x:c>
      <x:c r="CJ29"/>
      <x:c r="CK29" t="str">
        <x:v>已核验摘要没有可安全复述的统一量化结果。</x:v>
      </x:c>
      <x:c r="CL29" t="str">
        <x:v>为长时序操作提供不依赖逐步手写奖励的方向。</x:v>
      </x:c>
      <x:c r="CM29" t="str">
        <x:v>时间对齐错误可能误导奖励；需审计长任务失败样例。</x:v>
      </x:c>
      <x:c r="CN29"/>
      <x:c r="CO29" t="str">
        <x:v>Medium：双臂轨迹评价可参考，但真实接触仍需验证。</x:v>
      </x:c>
      <x:c r="CP29" t="str">
        <x:v>官方摘要/论文页; https://proceedings.neurips.cc/paper_files/paper/2024/hash/dcd297696d0bb304ba426b3c5a679c37-Abstract-Conference.html; 核验于 2026-09-23. 仅为摘要级速读；原 Evidence Quality 不变。 - 核验层级：摘要有可追溯来源</x:v>
      </x:c>
      <x:c r="CQ29" t="str">
        <x:v>doi</x:v>
      </x:c>
      <x:c r="CR29" t="n">
        <x:v>0</x:v>
      </x:c>
      <x:c r="CS29" t="n">
        <x:v>0</x:v>
      </x:c>
    </x:row>
    <x:row r="30" ht="58" customHeight="1">
      <x:c r="A30" t="str">
        <x:v>A029</x:v>
      </x:c>
      <x:c r="B30" t="str">
        <x:v>Closed-Loop Visuomotor Control with Generative Expectation for Robotic Manipulation</x:v>
      </x:c>
      <x:c r="C30" t="str">
        <x:v>Bu, Qingwen; Zeng, Jia; Chen, Li; Yang, Yanchao; Zhou, Guyue; Yan, Junchi; Luo, Ping; Cui, Heming; Ma, Yi; Li, Hongyang</x:v>
      </x:c>
      <x:c r="D30" t="n">
        <x:v>2024</x:v>
      </x:c>
      <x:c r="E30" t="str">
        <x:v>NeurIPS</x:v>
      </x:c>
      <x:c r="F30" t="str">
        <x:v>A</x:v>
      </x:c>
      <x:c r="G30" t="str">
        <x:v>Official Conference Paper</x:v>
      </x:c>
      <x:c r="H30" t="str">
        <x:v>Method Paper</x:v>
      </x:c>
      <x:c r="I30" t="str">
        <x:v>Robot Manipulation</x:v>
      </x:c>
      <x:c r="J30" t="str">
        <x:v>Long-Horizon / Failure Recovery</x:v>
      </x:c>
      <x:c r="K30" t="str">
        <x:v>Long-Horizon / Failure Recovery</x:v>
      </x:c>
      <x:c r="L30" t="e">
        <x:f>HYPERLINK("https://proceedings.neurips.cc/paper_files/paper/2024/hash/fad8962279154544ed69bb63eb14d677-Abstract-Conference.html","论文")</x:f>
        <x:v>HYPERLINK is not implemented. linkLocation=https://proceedings.neurips.cc/paper_files/paper/2024/hash/fad8962279154544ed69bb63eb14d677-Abstract-Conference.html, friendlyName=论文</x:v>
      </x:c>
      <x:c r="M30" t="e">
        <x:f>HYPERLINK("https://doi.org/10.52202/079017-4411","DOI")</x:f>
        <x:v>HYPERLINK is not implemented. linkLocation=https://doi.org/10.52202/079017-4411, friendlyName=DOI</x:v>
      </x:c>
      <x:c r="N30" t="str">
        <x:v>Unknown</x:v>
      </x:c>
      <x:c r="O30" t="str">
        <x:v>Unknown</x:v>
      </x:c>
      <x:c r="P30" t="e">
        <x:f>HYPERLINK("https://github.com/OpenDriveLab/CLOVER","GitHub")</x:f>
        <x:v>HYPERLINK is not implemented. linkLocation=https://github.com/OpenDriveLab/CLOVER, friendlyName=GitHub</x:v>
      </x:c>
      <x:c r="Q30" t="str">
        <x:v>Released</x:v>
      </x:c>
      <x:c r="R30" t="str">
        <x:v>Unknown</x:v>
      </x:c>
      <x:c r="S30" t="str">
        <x:v>Unknown</x:v>
      </x:c>
      <x:c r="T30" t="str">
        <x:v>Unknown</x:v>
      </x:c>
      <x:c r="U30" t="str">
        <x:v>Unknown</x:v>
      </x:c>
      <x:c r="V30" t="str">
        <x:v>Single Arm / Parallel Gripper</x:v>
      </x:c>
      <x:c r="W30" t="str">
        <x:v>Single Arm</x:v>
      </x:c>
      <x:c r="X30" t="str">
        <x:v>Parallel Gripper</x:v>
      </x:c>
      <x:c r="Y30" t="str">
        <x:v>Yes</x:v>
      </x:c>
      <x:c r="Z30" t="str">
        <x:v>Unknown</x:v>
      </x:c>
      <x:c r="AA30" t="str">
        <x:v>Unknown</x:v>
      </x:c>
      <x:c r="AB30" t="str">
        <x:v>Unknown</x:v>
      </x:c>
      <x:c r="AC30" t="str">
        <x:v>P0</x:v>
      </x:c>
      <x:c r="AD30" t="str">
        <x:v>Official proceedings verified; CCF A via user-provided CCF 7th-edition venue mapping</x:v>
      </x:c>
      <x:c r="AE30" t="str">
        <x:v>2026-09-19</x:v>
      </x:c>
      <x:c r="AF30" t="str">
        <x:v>Formal main-conference or official conference track record verified from the official proceedings page. Unchecked metadata remains Unknown.</x:v>
      </x:c>
      <x:c r="AG30" t="str">
        <x:v>CCF A Conference</x:v>
      </x:c>
      <x:c r="AH30" t="str">
        <x:v>Official Conference Paper</x:v>
      </x:c>
      <x:c r="AI30" t="str">
        <x:v>No</x:v>
      </x:c>
      <x:c r="AJ30" t="str">
        <x:v>02_Papers/07_Generalization_LongHorizon/Closed-Loop_Visuomotor_Control_with_Generative_Expectation_for_Robotic_Manipulation.md</x:v>
      </x:c>
      <x:c r="AK30" t="str">
        <x:v>Strict CCF A</x:v>
      </x:c>
      <x:c r="AL30" t="str">
        <x:v>https://proceedings.neurips.cc/paper_files/paper/2024/hash/fad8962279154544ed69bb63eb14d677-Abstract-Conference.html; official abstract/proceedings metadata</x:v>
      </x:c>
      <x:c r="AM30" t="str">
        <x:v>Abstract-level</x:v>
      </x:c>
      <x:c r="AN30" t="str">
        <x:v>Long-Horizon / Failure Recovery</x:v>
      </x:c>
      <x:c r="AO30" t="str">
        <x:v>See canonical card Research Summary; generated only from official abstract-level evidence.</x:v>
      </x:c>
      <x:c r="AP30" t="str">
        <x:v>Long-Horizon / Failure Recovery</x:v>
      </x:c>
      <x:c r="AQ30" t="str">
        <x:v>Real Robot=Yes; Dataset/Benchmark/Robot Platform retain Unknown when not verified.</x:v>
      </x:c>
      <x:c r="AR30" t="str">
        <x:v>** 与机器人操作、模仿学习或策略泛化相关；是否进入 L2/L3 取决于与双臂普通夹爪平台的可迁移性。</x:v>
      </x:c>
      <x:c r="AS30" t="str">
        <x:v>Project-stated CCF seventh-edition mapping; official row pending where noted</x:v>
      </x:c>
      <x:c r="AT30" t="str">
        <x:v>Generalization / Long-Horizon</x:v>
      </x:c>
      <x:c r="AU30" t="n">
        <x:v>10</x:v>
      </x:c>
      <x:c r="AV30" t="str">
        <x:v>OpenAlex</x:v>
      </x:c>
      <x:c r="AW30" t="str">
        <x:v>2026-09-25</x:v>
      </x:c>
      <x:c r="AX30" t="str">
        <x:v>机器人长任务容易因局部错误累积而失败。</x:v>
      </x:c>
      <x:c r="AY30" t="str">
        <x:v>Unknown / Needs Full-Paper Verification</x:v>
      </x:c>
      <x:c r="AZ30" t="str">
        <x:v>以 `Long-Hori</x:v>
      </x:c>
      <x:c r="BA30" t="str">
        <x:v>CALVIN 与真机操作任务。</x:v>
      </x:c>
      <x:c r="BB30" t="str">
        <x:v>Unknown / Needs Full-Paper Verification</x:v>
      </x:c>
      <x:c r="BC30" t="str">
        <x:v>- Inspired by classic closed-loop control systems, we propose CLOVER, a closed-loop visuomotor control framework that incorporates feedback mechanisms to improve adaptive robotic control.</x:v>
      </x:c>
      <x:c r="BD30" t="str">
        <x:v>Real Robot 字段为 `Yes`；Dataset、Benchmark、Robot Platform 中的 Unknown 继续保留，不从题名推断。</x:v>
      </x:c>
      <x:c r="BE30" t="str">
        <x:v>Unknown / Needs Full-Paper Verification</x:v>
      </x:c>
      <x:c r="BF30" t="str">
        <x:v>Unknown / Needs Full-Paper Verification</x:v>
      </x:c>
      <x:c r="BG30" t="str">
        <x:v>Library Analysis / Research Note: Unknown / Needs Full-Paper Verification</x:v>
      </x:c>
      <x:c r="BH30" t="str">
        <x:v>Long-Horizon / Failure Recovery</x:v>
      </x:c>
      <x:c r="BI30" t="str">
        <x:v>B</x:v>
      </x:c>
      <x:c r="BJ30"/>
      <x:c r="BK30" t="str">
        <x:v>Unknown / Not Explicitly Reported in the currently accessible sources.</x:v>
      </x:c>
      <x:c r="BL30" t="str">
        <x:v>Unknown / Not Explicitly Reported in the currently accessible sources.</x:v>
      </x:c>
      <x:c r="BM30" t="str">
        <x:v>https://openalex.org/W4415800541</x:v>
      </x:c>
      <x:c r="BN30" t="str">
        <x:v>https://proceedings.neurips.cc/paper_files/paper/2024/hash/fad8962279154544ed69bb63eb14d677-Abstract-Conference.html；官方摘要/论文集元数据</x:v>
      </x:c>
      <x:c r="BO30" t="str">
        <x:v>B-Fulltext-Unavailable</x:v>
      </x:c>
      <x:c r="BP30" t="str">
        <x:v>Not Found</x:v>
      </x:c>
      <x:c r="BQ30" t="str">
        <x:v>Mostly Complete</x:v>
      </x:c>
      <x:c r="BR30" t="str">
        <x:v>Unknown</x:v>
      </x:c>
      <x:c r="BS30" t="str">
        <x:v>https://proceedings.neurips.cc/paper_files/paper/2024/file/fad8962279154544ed69bb63eb14d677-Paper-Conference.pdf</x:v>
      </x:c>
      <x:c r="BT30" t="str">
        <x:v>No</x:v>
      </x:c>
      <x:c r="BU30" t="str">
        <x:v>No</x:v>
      </x:c>
      <x:c r="BV30" t="str">
        <x:v>No</x:v>
      </x:c>
      <x:c r="BW30" t="str">
        <x:v>No</x:v>
      </x:c>
      <x:c r="BX30" t="str">
        <x:v>No</x:v>
      </x:c>
      <x:c r="BY30" t="str">
        <x:v>No</x:v>
      </x:c>
      <x:c r="BZ30" t="str">
        <x:v>No</x:v>
      </x:c>
      <x:c r="CA30" t="str">
        <x:v>Matched</x:v>
      </x:c>
      <x:c r="CB30" t="str">
        <x:v>Not Found After Verification</x:v>
      </x:c>
      <x:c r="CC30" t="str">
        <x:v>Not Found After Verification</x:v>
      </x:c>
      <x:c r="CD30" t="str">
        <x:v>Audit logged - deep extraction pending</x:v>
      </x:c>
      <x:c r="CE30" t="str">
        <x:v>false</x:v>
      </x:c>
      <x:c r="CF30"/>
      <x:c r="CG30" t="str">
        <x:v>研究问题：机器人长任务容易因局部错误累积而失败。；之前方法的问题：只按当前观测输出动作，缺少对下一状态的预期与检查。；核心思路：CLOVER 借鉴闭环控制，把生成式未来预期与视觉运动策略结合，持续比较执行进展。；数据集与评测基准：CALVIN 与真机操作任务。；为什么重要：为动作后验证和失败检测提供闭环思路。；与当前项目的关系：High：双臂长任务尤其需要检查每步结果。；主要局限：未来预测误差与真实接触误差如何区分仍需验证。</x:v>
      </x:c>
      <x:c r="CH30" t="str">
        <x:v>只按当前观测输出动作，缺少对下一状态的预期与检查。</x:v>
      </x:c>
      <x:c r="CI30" t="str">
        <x:v>CLOVER 借鉴闭环控制，把生成式未来预期与视觉运动策略结合，持续比较执行进展。</x:v>
      </x:c>
      <x:c r="CJ30"/>
      <x:c r="CK30" t="str">
        <x:v>作者报告 CALVIN 上达到所比较方法中的先进表现，并展示真机任务改善；具体数字需查正文。</x:v>
      </x:c>
      <x:c r="CL30" t="str">
        <x:v>为动作后验证和失败检测提供闭环思路。</x:v>
      </x:c>
      <x:c r="CM30" t="str">
        <x:v>未来预测误差与真实接触误差如何区分仍需验证。</x:v>
      </x:c>
      <x:c r="CN30"/>
      <x:c r="CO30" t="str">
        <x:v>High：双臂长任务尤其需要检查每步结果。</x:v>
      </x:c>
      <x:c r="CP30" t="str">
        <x:v>官方摘要/论文页; https://proceedings.neurips.cc/paper_files/paper/2024/hash/fad8962279154544ed69bb63eb14d677-Abstract-Conference.html; 核验于 2026-09-23. 仅为摘要级速读；原 Evidence Quality 不变。 - 核验层级：摘要有可追溯来源</x:v>
      </x:c>
      <x:c r="CQ30" t="str">
        <x:v>doi</x:v>
      </x:c>
      <x:c r="CR30" t="n">
        <x:v>0</x:v>
      </x:c>
      <x:c r="CS30" t="n">
        <x:v>3</x:v>
      </x:c>
    </x:row>
    <x:row r="31" ht="58" customHeight="1">
      <x:c r="A31" t="str">
        <x:v>A030</x:v>
      </x:c>
      <x:c r="B31" t="str">
        <x:v>Point Cloud Matters: Rethinking the Impact of Different Observation Spaces on Robot Learning</x:v>
      </x:c>
      <x:c r="C31" t="str">
        <x:v>Zhu, Haoyi; Wang, Yating; Huang, Di; Ye, Weicai; Ouyang, Wanli; He, Tong</x:v>
      </x:c>
      <x:c r="D31" t="n">
        <x:v>2024</x:v>
      </x:c>
      <x:c r="E31" t="str">
        <x:v>NeurIPS</x:v>
      </x:c>
      <x:c r="F31" t="str">
        <x:v>A</x:v>
      </x:c>
      <x:c r="G31" t="str">
        <x:v>Official Conference Paper</x:v>
      </x:c>
      <x:c r="H31" t="str">
        <x:v>Dataset / Benchmark</x:v>
      </x:c>
      <x:c r="I31" t="str">
        <x:v>Dataset / Benchmark; Robot Manipulation</x:v>
      </x:c>
      <x:c r="J31" t="str">
        <x:v>3D Observation / Contact-rich</x:v>
      </x:c>
      <x:c r="K31" t="str">
        <x:v>3D Observation / Contact-rich</x:v>
      </x:c>
      <x:c r="L31" t="e">
        <x:f>HYPERLINK("https://proceedings.neurips.cc/paper_files/paper/2024/hash/8e5dc5969a6174fcaaececd890c7f59b-Abstract-Datasets_and_Benchmarks_Track.html","论文")</x:f>
        <x:v>HYPERLINK is not implemented. linkLocation=https://proceedings.neurips.cc/paper_files/paper/2024/hash/8e5dc5969a6174fcaaececd890c7f59b-Abstract-Datasets_and_Benchmarks_Track.html, friendlyName=论文</x:v>
      </x:c>
      <x:c r="M31" t="e">
        <x:f>HYPERLINK("https://doi.org/10.52202/079017-2473","DOI")</x:f>
        <x:v>HYPERLINK is not implemented. linkLocation=https://doi.org/10.52202/079017-2473, friendlyName=DOI</x:v>
      </x:c>
      <x:c r="N31" t="str">
        <x:v>Unknown</x:v>
      </x:c>
      <x:c r="O31" t="str">
        <x:v>Unknown</x:v>
      </x:c>
      <x:c r="P31" t="str">
        <x:v>Unknown</x:v>
      </x:c>
      <x:c r="Q31" t="str">
        <x:v>Unknown</x:v>
      </x:c>
      <x:c r="R31" t="str">
        <x:v>Unknown</x:v>
      </x:c>
      <x:c r="S31" t="str">
        <x:v>Unknown</x:v>
      </x:c>
      <x:c r="T31" t="str">
        <x:v>Unknown</x:v>
      </x:c>
      <x:c r="U31" t="str">
        <x:v>Unknown</x:v>
      </x:c>
      <x:c r="V31" t="str">
        <x:v>Simulation Only</x:v>
      </x:c>
      <x:c r="W31" t="str">
        <x:v>Unknown</x:v>
      </x:c>
      <x:c r="X31" t="str">
        <x:v>Unknown</x:v>
      </x:c>
      <x:c r="Y31" t="str">
        <x:v>No</x:v>
      </x:c>
      <x:c r="Z31" t="str">
        <x:v>Unknown</x:v>
      </x:c>
      <x:c r="AA31" t="str">
        <x:v>Unknown</x:v>
      </x:c>
      <x:c r="AB31" t="str">
        <x:v>Simulation Only</x:v>
      </x:c>
      <x:c r="AC31" t="str">
        <x:v>P1</x:v>
      </x:c>
      <x:c r="AD31" t="str">
        <x:v>Official proceedings verified; CCF A via user-provided CCF 7th-edition venue mapping</x:v>
      </x:c>
      <x:c r="AE31" t="str">
        <x:v>2026-09-19</x:v>
      </x:c>
      <x:c r="AF31" t="str">
        <x:v>Formal main-conference or official conference track record verified from the official proceedings page. Unchecked metadata remains Unknown.</x:v>
      </x:c>
      <x:c r="AG31" t="str">
        <x:v>CCF A Conference</x:v>
      </x:c>
      <x:c r="AH31" t="str">
        <x:v>Official Conference Paper</x:v>
      </x:c>
      <x:c r="AI31" t="str">
        <x:v>No</x:v>
      </x:c>
      <x:c r="AJ31" t="str">
        <x:v>02_Papers/10_Benchmark_Dataset/Point_Cloud_Matters.md</x:v>
      </x:c>
      <x:c r="AK31" t="str">
        <x:v>Strict CCF A</x:v>
      </x:c>
      <x:c r="AL31" t="str">
        <x:v>https://proceedings.neurips.cc/paper_files/paper/2024/hash/8e5dc5969a6174fcaaececd890c7f59b-Abstract-Datasets_and_Benchmarks_Track.html; official abstract/proceedings metadata</x:v>
      </x:c>
      <x:c r="AM31" t="str">
        <x:v>Abstract-level</x:v>
      </x:c>
      <x:c r="AN31" t="str">
        <x:v>3D Observation / Contact-rich</x:v>
      </x:c>
      <x:c r="AO31" t="str">
        <x:v>See canonical card Research Summary; generated only from official abstract-level evidence.</x:v>
      </x:c>
      <x:c r="AP31" t="str">
        <x:v>3D Observation / Contact-rich</x:v>
      </x:c>
      <x:c r="AQ31" t="str">
        <x:v>Real Robot=No; Dataset/Benchmark/Robot Platform retain Unknown when not verified.</x:v>
      </x:c>
      <x:c r="AR31" t="str">
        <x:v>** 与机器人操作、模仿学习或策略泛化相关；是否进入 L2/L3 取决于与双臂普通夹爪平台的可迁移性。</x:v>
      </x:c>
      <x:c r="AS31" t="str">
        <x:v>Project-stated CCF seventh-edition mapping; official row pending where noted</x:v>
      </x:c>
      <x:c r="AT31" t="str">
        <x:v>Benchmark / Dataset</x:v>
      </x:c>
      <x:c r="AU31" t="n">
        <x:v>10</x:v>
      </x:c>
      <x:c r="AV31" t="str">
        <x:v>OpenAlex</x:v>
      </x:c>
      <x:c r="AW31" t="str">
        <x:v>2026-09-25</x:v>
      </x:c>
      <x:c r="AX31" t="str">
        <x:v>在机器人学习中，观测模态可能像策略设计一样限制操作能力。</x:v>
      </x:c>
      <x:c r="AY31" t="str">
        <x:v>Unknown / Needs Full-Paper Verification</x:v>
      </x:c>
      <x:c r="AZ31" t="str">
        <x:v>以 `3D Observation / Contact-rich` 为主要方法/能力线索；更细的结构和消融结论待正文核验。</x:v>
      </x:c>
      <x:c r="BA31" t="str">
        <x:v>OBSBench：两个仿真器、125 项任务。</x:v>
      </x:c>
      <x:c r="BB31" t="str">
        <x:v>Unknown / Needs Full-Paper Verification</x:v>
      </x:c>
      <x:c r="BC31" t="str">
        <x:v>- We introduce OBSBench, a benchmark comprising two simulators and 125 tasks, along with standardi</x:v>
      </x:c>
      <x:c r="BD31" t="str">
        <x:v>Real Robot 字段为 `No`；Dataset、Benchmark、Robot Platform 中的 Unknown 继续保留，不从题名推断。</x:v>
      </x:c>
      <x:c r="BE31" t="str">
        <x:v>摘要指出点云观测常带来更好的策略表现，并在几何与视觉变化下表现出更强泛化；具体幅度需查实验表格。</x:v>
      </x:c>
      <x:c r="BF31" t="str">
        <x:v>Unknown / Needs Full-Paper Verification</x:v>
      </x:c>
      <x:c r="BG31" t="str">
        <x:v>Library Analysis / Research Note: Unknown / Needs Full-Paper Verification</x:v>
      </x:c>
      <x:c r="BH31" t="str">
        <x:v>3D Observation / Contact-rich</x:v>
      </x:c>
      <x:c r="BI31" t="str">
        <x:v>B</x:v>
      </x:c>
      <x:c r="BJ31"/>
      <x:c r="BK31" t="str">
        <x:v>Unknown / Not Explicitly Reported in the currently accessible sources.</x:v>
      </x:c>
      <x:c r="BL31" t="str">
        <x:v>Unknown / Not Explicitly Reported in the currently accessible sources.</x:v>
      </x:c>
      <x:c r="BM31" t="str">
        <x:v>https://openalex.org/W4415797227</x:v>
      </x:c>
      <x:c r="BN31" t="str">
        <x:v>https://proceedings.neurips.cc/paper_files/paper/2024/hash/8e5dc5969a6174fcaaececd890c7f59b-Abstract-Datasets_and_Benchmarks_Track.html；官方摘要/论文集元数据</x:v>
      </x:c>
      <x:c r="BO31" t="str">
        <x:v>B-Code-Unverified</x:v>
      </x:c>
      <x:c r="BP31" t="str">
        <x:v>Not Found</x:v>
      </x:c>
      <x:c r="BQ31" t="str">
        <x:v>Unavailable</x:v>
      </x:c>
      <x:c r="BR31" t="str">
        <x:v>Unknown</x:v>
      </x:c>
      <x:c r="BS31" t="str">
        <x:v>https://proceedings.neurips.cc/paper_files/paper/2024/file/8e5dc5969a6174fcaaececd890c7f59b-Paper-Datasets_and_Benchmarks_Track.pdf</x:v>
      </x:c>
      <x:c r="BT31" t="str">
        <x:v>No</x:v>
      </x:c>
      <x:c r="BU31" t="str">
        <x:v>No</x:v>
      </x:c>
      <x:c r="BV31" t="str">
        <x:v>No</x:v>
      </x:c>
      <x:c r="BW31" t="str">
        <x:v>No</x:v>
      </x:c>
      <x:c r="BX31" t="str">
        <x:v>No</x:v>
      </x:c>
      <x:c r="BY31" t="str">
        <x:v>No</x:v>
      </x:c>
      <x:c r="BZ31" t="str">
        <x:v>No</x:v>
      </x:c>
      <x:c r="CA31" t="str">
        <x:v>Matched</x:v>
      </x:c>
      <x:c r="CB31" t="str">
        <x:v>Not Found After Verification</x:v>
      </x:c>
      <x:c r="CC31" t="str">
        <x:v>Not Found After Verification</x:v>
      </x:c>
      <x:c r="CD31" t="str">
        <x:v>Audit logged - deep extraction pending</x:v>
      </x:c>
      <x:c r="CE31" t="str">
        <x:v>false</x:v>
      </x:c>
      <x:c r="CF31"/>
      <x:c r="CG31" t="str">
        <x:v>研究问题：在机器人学习中，观测模态可能像策略设计一样限制操作能力。；核心思路：论文提出 OBSBench，统一比较不同观测编码器和策略基线；基准覆盖两个仿真器、125 项任务。；数据集与评测基准：OBSBench：两个仿真器、125 项任务。；主要结果：摘要指出点云观测常带来更好的策略表现，并在几何与视觉变化下表现出更强泛化；具体幅度需查实验表格。；为什么重要：提示选择 RGB、点云等输入时，应在同一策略和任务设置下比较。；与当前项目的关系：Medium：可用于设计普通夹爪操作的观测消融实验。；主要局限：摘要未说明点云优势在传感器成本、遮挡和真实平台上的边界。</x:v>
      </x:c>
      <x:c r="CH31" t="str">
        <x:v>已核验摘要未明确说明；需查阅论文方法与实验章节。</x:v>
      </x:c>
      <x:c r="CI31" t="str">
        <x:v>论文提出 OBSBench，统一比较不同观测编码器和策略基线；基准覆盖两个仿真器、125 项任务。</x:v>
      </x:c>
      <x:c r="CJ31"/>
      <x:c r="CK31" t="str">
        <x:v>摘要指出点云观测常带来更好的策略表现，并在几何与视觉变化下表现出更强泛化；具体幅度需查实验表格。</x:v>
      </x:c>
      <x:c r="CL31" t="str">
        <x:v>提示选择 RGB、点云等输入时，应在同一策略和任务设置下比较。</x:v>
      </x:c>
      <x:c r="CM31" t="str">
        <x:v>摘要未说明点云优势在传感器成本、遮挡和真实平台上的边界。</x:v>
      </x:c>
      <x:c r="CN31"/>
      <x:c r="CO31" t="str">
        <x:v>Medium：可用于设计普通夹爪操作的观测消融实验。</x:v>
      </x:c>
      <x:c r="CP31" t="str">
        <x:v>官方摘要/论文页; https://proceedings.neurips.cc/paper_files/paper/2024/hash/8e5dc5969a6174fcaaececd890c7f59b-Abstract-Datasets_and_Benchmarks_Track.html; 核验于 2026-09-23. 仅为摘要级速读；原 Evidence Quality 不变。 - 核验层级：摘要有可追溯来源</x:v>
      </x:c>
      <x:c r="CQ31" t="str">
        <x:v>final-doi</x:v>
      </x:c>
      <x:c r="CR31" t="n">
        <x:v>0</x:v>
      </x:c>
      <x:c r="CS31" t="n">
        <x:v>0</x:v>
      </x:c>
    </x:row>
    <x:row r="32" ht="58" customHeight="1">
      <x:c r="A32" t="str">
        <x:v>A031</x:v>
      </x:c>
      <x:c r="B32" t="str">
        <x:v>Text-Aware Diffusion for Policy Learning</x:v>
      </x:c>
      <x:c r="C32" t="str">
        <x:v>Luo, Calvin; He, Mandy; Zeng, Zilai; Sun, Chen</x:v>
      </x:c>
      <x:c r="D32" t="n">
        <x:v>2024</x:v>
      </x:c>
      <x:c r="E32" t="str">
        <x:v>NeurIPS</x:v>
      </x:c>
      <x:c r="F32" t="str">
        <x:v>A</x:v>
      </x:c>
      <x:c r="G32" t="str">
        <x:v>Official Conference Paper</x:v>
      </x:c>
      <x:c r="H32" t="str">
        <x:v>Method Paper</x:v>
      </x:c>
      <x:c r="I32" t="str">
        <x:v>Diffusion / Flow; Reinforcement Learning</x:v>
      </x:c>
      <x:c r="J32" t="str">
        <x:v>Text-conditioned Reward</x:v>
      </x:c>
      <x:c r="K32" t="str">
        <x:v>Text-conditioned Reward</x:v>
      </x:c>
      <x:c r="L32" t="e">
        <x:f>HYPERLINK("https://proceedings.neurips.cc/paper_files/paper/2024/hash/5227ce00add5aa0a12d1c4ee92fcd2dc-Abstract-Conference.html","论文")</x:f>
        <x:v>HYPERLINK is not implemented. linkLocation=https://proceedings.neurips.cc/paper_files/paper/2024/hash/5227ce00add5aa0a12d1c4ee92fcd2dc-Abstract-Conference.html, friendlyName=论文</x:v>
      </x:c>
      <x:c r="M32" t="e">
        <x:f>HYPERLINK("https://doi.org/10.52202/079017-1469","DOI")</x:f>
        <x:v>HYPERLINK is not implemented. linkLocation=https://doi.org/10.52202/079017-1469, friendlyName=DOI</x:v>
      </x:c>
      <x:c r="N32" t="str">
        <x:v>Unknown</x:v>
      </x:c>
      <x:c r="O32" t="str">
        <x:v>Unknown</x:v>
      </x:c>
      <x:c r="P32" t="str">
        <x:v>Unknown</x:v>
      </x:c>
      <x:c r="Q32" t="str">
        <x:v>Unknown</x:v>
      </x:c>
      <x:c r="R32" t="str">
        <x:v>Unknown</x:v>
      </x:c>
      <x:c r="S32" t="str">
        <x:v>Unknown</x:v>
      </x:c>
      <x:c r="T32" t="str">
        <x:v>Unknown</x:v>
      </x:c>
      <x:c r="U32" t="str">
        <x:v>Unknown</x:v>
      </x:c>
      <x:c r="V32" t="str">
        <x:v>Simulation Only</x:v>
      </x:c>
      <x:c r="W32" t="str">
        <x:v>Unknown</x:v>
      </x:c>
      <x:c r="X32" t="str">
        <x:v>Unknown</x:v>
      </x:c>
      <x:c r="Y32" t="str">
        <x:v>No</x:v>
      </x:c>
      <x:c r="Z32" t="str">
        <x:v>Unknown</x:v>
      </x:c>
      <x:c r="AA32" t="str">
        <x:v>Unknown</x:v>
      </x:c>
      <x:c r="AB32" t="str">
        <x:v>Simulation Only</x:v>
      </x:c>
      <x:c r="AC32" t="str">
        <x:v>P2</x:v>
      </x:c>
      <x:c r="AD32" t="str">
        <x:v>Official proceedings verified; CCF A via user-provided CCF 7th-edition venue mapping</x:v>
      </x:c>
      <x:c r="AE32" t="str">
        <x:v>2026-09-19</x:v>
      </x:c>
      <x:c r="AF32" t="str">
        <x:v>Formal main-conference or official conference track record verified from the official proceedings page. Unchecked metadata remains Unknown.</x:v>
      </x:c>
      <x:c r="AG32" t="str">
        <x:v>CCF A Conference</x:v>
      </x:c>
      <x:c r="AH32" t="str">
        <x:v>Official Conference Paper</x:v>
      </x:c>
      <x:c r="AI32" t="str">
        <x:v>No</x:v>
      </x:c>
      <x:c r="AJ32" t="str">
        <x:v>02_Papers/06_Diffusion_Flow_IL_RL/Text-Aware_Diffusion_for_Policy_Learning.md</x:v>
      </x:c>
      <x:c r="AK32" t="str">
        <x:v>Strict CCF A</x:v>
      </x:c>
      <x:c r="AL32" t="str">
        <x:v>https://proceedings.neurips.cc/paper_files/paper/2024/hash/5227ce00add5aa0a12d1c4ee92fcd2dc-Abstract-Conference.html; official abstract/proceedings metadata</x:v>
      </x:c>
      <x:c r="AM32" t="str">
        <x:v>Abstract-level</x:v>
      </x:c>
      <x:c r="AN32" t="str">
        <x:v>Text-conditioned Reward</x:v>
      </x:c>
      <x:c r="AO32" t="str">
        <x:v>See canonical card Research Summary; generated only from official abstract-level evidence.</x:v>
      </x:c>
      <x:c r="AP32" t="str">
        <x:v>Text-conditioned Reward</x:v>
      </x:c>
      <x:c r="AQ32" t="str">
        <x:v>Real Robot=No; Dataset/Benchmark/Robot Platform retain Unknown when not verified.</x:v>
      </x:c>
      <x:c r="AR32" t="str">
        <x:v>** 与机器人操作、模仿学习或策略泛化相关；是否进入 L2/L3 取决于与双臂普通夹爪平台的可迁移性。</x:v>
      </x:c>
      <x:c r="AS32" t="str">
        <x:v>Project-stated CCF seventh-edition mapping; official row pending where noted</x:v>
      </x:c>
      <x:c r="AT32" t="str">
        <x:v>Diffusion / Flow / IL / RL</x:v>
      </x:c>
      <x:c r="AU32" t="n">
        <x:v>1</x:v>
      </x:c>
      <x:c r="AV32" t="str">
        <x:v>OpenAlex</x:v>
      </x:c>
      <x:c r="AW32" t="str">
        <x:v>2026-09-25</x:v>
      </x:c>
      <x:c r="AX32" t="str">
        <x:v>机器人策略需要按文字目标学习行为，而奖励设计成本较高。</x:v>
      </x:c>
      <x:c r="AY32" t="str">
        <x:v>Unknown / Needs Full-Paper Verification</x:v>
      </x:c>
      <x:c r="AZ32" t="str">
        <x:v>以 `Text-conditioned Reward` 为主要方法/能力线索；更细的结构和消融结论待正文核验。</x:v>
      </x:c>
      <x:c r="BA32" t="str">
        <x:v>Meta-World 机器人操作环境。</x:v>
      </x:c>
      <x:c r="BB32" t="str">
        <x:v>Unknown / Needs Full-Paper Verification</x:v>
      </x:c>
      <x:c r="BC32" t="str">
        <x:v>- To address this challenge, we propose Text-Aware Diffusion for Policy Learning (TADPoLe), which uses a pretrained, fro</x:v>
      </x:c>
      <x:c r="BD32" t="str">
        <x:v>Real Robot 字段为 `No`；Dataset、Benchmark、Robot Platform 中的 Unknown 继续保留，不从题名推断。</x:v>
      </x:c>
      <x:c r="BE32" t="str">
        <x:v>作者报告在 Meta-World 任务上有竞争力的表现；具体数字见实验表。</x:v>
      </x:c>
      <x:c r="BF32" t="str">
        <x:v>Unknown / Needs Full-Paper Verification</x:v>
      </x:c>
      <x:c r="BG32" t="str">
        <x:v>Library Analysis / Research Note: Unknown / Needs Full-Paper Verification</x:v>
      </x:c>
      <x:c r="BH32" t="str">
        <x:v>Text-conditioned Reward</x:v>
      </x:c>
      <x:c r="BI32" t="str">
        <x:v>B</x:v>
      </x:c>
      <x:c r="BJ32"/>
      <x:c r="BK32" t="str">
        <x:v>Unknown / Not Explicitly Reported in the currently accessible sources.</x:v>
      </x:c>
      <x:c r="BL32" t="str">
        <x:v>Unknown / Not Explicitly Reported in the currently accessible sources.</x:v>
      </x:c>
      <x:c r="BM32" t="str">
        <x:v>https://openalex.org/W4415797662</x:v>
      </x:c>
      <x:c r="BN32" t="str">
        <x:v>https://proceedings.neurips.cc/paper_files/paper/2024/hash/5227ce00add5aa0a12d1c4ee92fcd2dc-Abstract-Conference.html；官方摘要/论文集元数据</x:v>
      </x:c>
      <x:c r="BO32" t="str">
        <x:v>B-Code-Unverified</x:v>
      </x:c>
      <x:c r="BP32" t="str">
        <x:v>Not Found</x:v>
      </x:c>
      <x:c r="BQ32" t="str">
        <x:v>Unavailable</x:v>
      </x:c>
      <x:c r="BR32" t="str">
        <x:v>Unknown</x:v>
      </x:c>
      <x:c r="BS32" t="str">
        <x:v>https://proceedings.neurips.cc/paper_files/paper/2024/file/5227ce00add5aa0a12d1c4ee92fcd2dc-Paper-Conference.pdf</x:v>
      </x:c>
      <x:c r="BT32" t="str">
        <x:v>No</x:v>
      </x:c>
      <x:c r="BU32" t="str">
        <x:v>No</x:v>
      </x:c>
      <x:c r="BV32" t="str">
        <x:v>No</x:v>
      </x:c>
      <x:c r="BW32" t="str">
        <x:v>No</x:v>
      </x:c>
      <x:c r="BX32" t="str">
        <x:v>No</x:v>
      </x:c>
      <x:c r="BY32" t="str">
        <x:v>No</x:v>
      </x:c>
      <x:c r="BZ32" t="str">
        <x:v>No</x:v>
      </x:c>
      <x:c r="CA32" t="str">
        <x:v>Matched</x:v>
      </x:c>
      <x:c r="CB32" t="str">
        <x:v>Not Found After Verification</x:v>
      </x:c>
      <x:c r="CC32" t="str">
        <x:v>Not Found After Verification</x:v>
      </x:c>
      <x:c r="CD32" t="str">
        <x:v>Audit logged - deep extraction pending</x:v>
      </x:c>
      <x:c r="CE32" t="str">
        <x:v>false</x:v>
      </x:c>
      <x:c r="CF32"/>
      <x:c r="CG32" t="str">
        <x:v>研究问题：机器人策略需要按文字目标学习行为，而奖励设计成本较高。；之前方法的问题：普通扩散生成不能自动判断行为是否符合语言描述。；核心思路：TADPoLe 利用冻结的文本条件模型，为策略学习提供语言相关的信号。；数据集与评测基准：Meta-World 机器人操作环境。；主要结果：作者报告在 Meta-World 任务上有竞争力的表现；具体数字见实验表。；为什么重要：可比较语言约束进入奖励还是进入动作生成器。；与当前项目的关系：Medium：对未来 VLA 有参考价值，真机双臂需独立验证。；主要局限：冻结模型的语言判断可能与真实物理成功不一致。</x:v>
      </x:c>
      <x:c r="CH32" t="str">
        <x:v>普通扩散生成不能自动判断行为是否符合语言描述。</x:v>
      </x:c>
      <x:c r="CI32" t="str">
        <x:v>TADPoLe 利用冻结的文本条件模型，为策略学习提供语言相关的信号。</x:v>
      </x:c>
      <x:c r="CJ32"/>
      <x:c r="CK32" t="str">
        <x:v>作者报告在 Meta-World 任务上有竞争力的表现；具体数字见实验表。</x:v>
      </x:c>
      <x:c r="CL32" t="str">
        <x:v>可比较语言约束进入奖励还是进入动作生成器。</x:v>
      </x:c>
      <x:c r="CM32" t="str">
        <x:v>冻结模型的语言判断可能与真实物理成功不一致。</x:v>
      </x:c>
      <x:c r="CN32"/>
      <x:c r="CO32" t="str">
        <x:v>Medium：对未来 VLA 有参考价值，真机双臂需独立验证。</x:v>
      </x:c>
      <x:c r="CP32" t="str">
        <x:v>官方摘要/论文页; https://proceedings.neurips.cc/paper_files/paper/2024/hash/5227ce00add5aa0a12d1c4ee92fcd2dc-Abstract-Conference.html; 核验于 2026-09-23. 仅为摘要级速读；原 Evidence Quality 不变。 - 核验层级：摘要有可追溯来源</x:v>
      </x:c>
      <x:c r="CQ32" t="str">
        <x:v>doi</x:v>
      </x:c>
      <x:c r="CR32" t="n">
        <x:v>0</x:v>
      </x:c>
      <x:c r="CS32" t="n">
        <x:v>0</x:v>
      </x:c>
    </x:row>
    <x:row r="33" ht="58" customHeight="1">
      <x:c r="A33" t="str">
        <x:v>A032</x:v>
      </x:c>
      <x:c r="B33" t="str">
        <x:v>Mitigating the Human-Robot Domain Discrepancy in Visual Pre-training for Robotic Manipulation</x:v>
      </x:c>
      <x:c r="C33" t="str">
        <x:v>Zhou, Jiaming; Ma, Teli; Lin, Kun-Yu; Wang, Zifan; Qiu, Ronghe; Liang, Junwei</x:v>
      </x:c>
      <x:c r="D33" t="n">
        <x:v>2025</x:v>
      </x:c>
      <x:c r="E33" t="str">
        <x:v>CVPR</x:v>
      </x:c>
      <x:c r="F33" t="str">
        <x:v>A</x:v>
      </x:c>
      <x:c r="G33" t="str">
        <x:v>Official Conference Paper</x:v>
      </x:c>
      <x:c r="H33" t="str">
        <x:v>Method Paper</x:v>
      </x:c>
      <x:c r="I33" t="str">
        <x:v>Robot Manipulation; Generalization</x:v>
      </x:c>
      <x:c r="J33" t="str">
        <x:v>Human-Robot Domain Adaptation</x:v>
      </x:c>
      <x:c r="K33" t="str">
        <x:v>Human-Robot Domain Adaptation</x:v>
      </x:c>
      <x:c r="L33" t="e">
        <x:f>HYPERLINK("https://openaccess.thecvf.com/content/CVPR2025/html/Zhou_Mitigating_the_Human-Robot_Domain_Discrepancy_in_Visual_Pre-training_for_Robotic_CVPR_2025_paper.html","论文")</x:f>
        <x:v>HYPERLINK is not implemented. linkLocation=https://openaccess.thecvf.com/content/CVPR2025/html/Zhou_Mitigating_the_Human-Robot_Domain_Discrepancy_in_Visual_Pre-training_for_Robotic_CVPR_2025_paper.html, friendlyName=论文</x:v>
      </x:c>
      <x:c r="M33" t="str">
        <x:v>Unknown</x:v>
      </x:c>
      <x:c r="N33" t="str">
        <x:v>Unknown</x:v>
      </x:c>
      <x:c r="O33" t="str">
        <x:v>Unknown</x:v>
      </x:c>
      <x:c r="P33" t="str">
        <x:v>Unknown</x:v>
      </x:c>
      <x:c r="Q33" t="str">
        <x:v>Unknown</x:v>
      </x:c>
      <x:c r="R33" t="str">
        <x:v>Unknown</x:v>
      </x:c>
      <x:c r="S33" t="str">
        <x:v>Unknown</x:v>
      </x:c>
      <x:c r="T33" t="str">
        <x:v>Unknown</x:v>
      </x:c>
      <x:c r="U33" t="str">
        <x:v>Unknown</x:v>
      </x:c>
      <x:c r="V33" t="str">
        <x:v>Single Arm / Parallel Gripper</x:v>
      </x:c>
      <x:c r="W33" t="str">
        <x:v>Single Arm</x:v>
      </x:c>
      <x:c r="X33" t="str">
        <x:v>Parallel Gripper</x:v>
      </x:c>
      <x:c r="Y33" t="str">
        <x:v>Yes</x:v>
      </x:c>
      <x:c r="Z33" t="str">
        <x:v>Unknown</x:v>
      </x:c>
      <x:c r="AA33" t="str">
        <x:v>Unknown</x:v>
      </x:c>
      <x:c r="AB33" t="str">
        <x:v>Unknown</x:v>
      </x:c>
      <x:c r="AC33" t="str">
        <x:v>P1</x:v>
      </x:c>
      <x:c r="AD33" t="str">
        <x:v>Official proceedings verified; CCF A via user-provided CCF 7th-edition venue mapping</x:v>
      </x:c>
      <x:c r="AE33" t="str">
        <x:v>2026-09-19</x:v>
      </x:c>
      <x:c r="AF33" t="str">
        <x:v>Formal main-conference or official conference track record verified from the official proceedings page. Unchecked metadata remains Unknown.</x:v>
      </x:c>
      <x:c r="AG33" t="str">
        <x:v>CCF A Conference</x:v>
      </x:c>
      <x:c r="AH33" t="str">
        <x:v>Official Conference Paper</x:v>
      </x:c>
      <x:c r="AI33" t="str">
        <x:v>No</x:v>
      </x:c>
      <x:c r="AJ33" t="str">
        <x:v>02_Papers/07_Generalization_LongHorizon/Mitigating_the_Human-Robot_Domain_Discrepancy_in_Visual_Pre-training_for_Robotic_Manipulat.md</x:v>
      </x:c>
      <x:c r="AK33" t="str">
        <x:v>Strict CCF A</x:v>
      </x:c>
      <x:c r="AL33" t="str">
        <x:v>https://openaccess.thecvf.com/content/CVPR2025/html/Zhou_Mitigating_the_Human-Robot_Domain_Discrepancy_in_Visual_Pre-training_for_Robotic_CVPR_2025_paper.html; official abstract/proceedings metadata</x:v>
      </x:c>
      <x:c r="AM33" t="str">
        <x:v>Abstract-level</x:v>
      </x:c>
      <x:c r="AN33" t="str">
        <x:v>Human-Robot Domain Adaptation</x:v>
      </x:c>
      <x:c r="AO33" t="str">
        <x:v>See canonical card Research Summary; generated only from official abstract-level evidence.</x:v>
      </x:c>
      <x:c r="AP33" t="str">
        <x:v>Human-Robot Domain Adaptation</x:v>
      </x:c>
      <x:c r="AQ33" t="str">
        <x:v>Real Robot=Yes; Dataset/Benchmark/Robot Platform retain Unknown when not verified.</x:v>
      </x:c>
      <x:c r="AR33" t="str">
        <x:v>** 与机器人操作、模仿学习或策略泛化相关；是否进入 L2/L3 取决于与双臂普通夹爪平台的可迁移性。</x:v>
      </x:c>
      <x:c r="AS33" t="str">
        <x:v>Project-stated CCF seventh-edition mapping; official row pending where noted</x:v>
      </x:c>
      <x:c r="AT33" t="str">
        <x:v>Generalization / Long-Horizon</x:v>
      </x:c>
      <x:c r="AU33" t="n">
        <x:v>7</x:v>
      </x:c>
      <x:c r="AV33" t="str">
        <x:v>OpenAlex</x:v>
      </x:c>
      <x:c r="AW33" t="str">
        <x:v>2026-09-25</x:v>
      </x:c>
      <x:c r="AX33" t="str">
        <x:v>从人类视频预训练的视觉表示与机器人视角存在域差异。</x:v>
      </x:c>
      <x:c r="AY33" t="str">
        <x:v>Unknown / Needs Full-Paper Verification</x:v>
      </x:c>
      <x:c r="AZ33" t="str">
        <x:v>以 `Human-Robot Domain Adaptation` 为主要方法/能力线索；更细的结构和消融结论待正文核验。</x:v>
      </x:c>
      <x:c r="BA33" t="str">
        <x:v>已核验摘要未明确说明；需查阅论文方法与实验章节。</x:v>
      </x:c>
      <x:c r="BB33" t="str">
        <x:v>Unknown / Needs Full-Paper Verification</x:v>
      </x:c>
      <x:c r="BC33" t="str">
        <x:v>- To overcome this, we propose a novel adaptation paradigm that leverages readily available paired human-robot video data to bridge the domain gap.</x:v>
      </x:c>
      <x:c r="BD33" t="str">
        <x:v>Real Robot 字段为 `Yes`；Dataset、Benchmark、Robot Platform 中的 Unknown 继续保留，不从题名推断。</x:v>
      </x:c>
      <x:c r="BE33" t="str">
        <x:v>作者报告多个操作任务的平均成功率提高超过 7%；具体比较条件见论文。</x:v>
      </x:c>
      <x:c r="BF33" t="str">
        <x:v>Unknown / Needs Full-Paper Verification</x:v>
      </x:c>
      <x:c r="BG33" t="str">
        <x:v>Library Analysis / Research Note: Unknown / Needs Full-Paper Verification</x:v>
      </x:c>
      <x:c r="BH33" t="str">
        <x:v>Human-Robot Domain Adaptation</x:v>
      </x:c>
      <x:c r="BI33" t="str">
        <x:v>B</x:v>
      </x:c>
      <x:c r="BJ33"/>
      <x:c r="BK33" t="str">
        <x:v>Unknown / Not Explicitly Reported in the currently accessible sources.</x:v>
      </x:c>
      <x:c r="BL33" t="str">
        <x:v>Unknown / Not Explicitly Reported in the currently accessible sources.</x:v>
      </x:c>
      <x:c r="BM33" t="str">
        <x:v>https://openalex.org/W4413145391</x:v>
      </x:c>
      <x:c r="BN33" t="str">
        <x:v>https://openaccess.thecvf.com/content/CVPR2025/html/</x:v>
      </x:c>
      <x:c r="BO33" t="str">
        <x:v>B-Code-Unverified</x:v>
      </x:c>
      <x:c r="BP33" t="str">
        <x:v>Not Found</x:v>
      </x:c>
      <x:c r="BQ33" t="str">
        <x:v>Unavailable</x:v>
      </x:c>
      <x:c r="BR33" t="str">
        <x:v>Unknown</x:v>
      </x:c>
      <x:c r="BS33" t="str">
        <x:v>https://openaccess.thecvf.com/content/CVPR2025/papers/Zhou_Mitigating_the_Human-Robot_Domain_Discrepancy_in_Visual_Pre-training_for_Robotic_CVPR_2025_paper.pdf</x:v>
      </x:c>
      <x:c r="BT33" t="str">
        <x:v>No</x:v>
      </x:c>
      <x:c r="BU33" t="str">
        <x:v>No</x:v>
      </x:c>
      <x:c r="BV33" t="str">
        <x:v>No</x:v>
      </x:c>
      <x:c r="BW33" t="str">
        <x:v>No</x:v>
      </x:c>
      <x:c r="BX33" t="str">
        <x:v>No</x:v>
      </x:c>
      <x:c r="BY33" t="str">
        <x:v>No</x:v>
      </x:c>
      <x:c r="BZ33" t="str">
        <x:v>No</x:v>
      </x:c>
      <x:c r="CA33" t="str">
        <x:v>Matched</x:v>
      </x:c>
      <x:c r="CB33" t="str">
        <x:v>Not Found After Verification</x:v>
      </x:c>
      <x:c r="CC33" t="str">
        <x:v>Not Found After Verification</x:v>
      </x:c>
      <x:c r="CD33" t="str">
        <x:v>Audit logged - deep extraction pending</x:v>
      </x:c>
      <x:c r="CE33" t="str">
        <x:v>false</x:v>
      </x:c>
      <x:c r="CF33"/>
      <x:c r="CG33" t="str">
        <x:v>研究问题：从人类视频预训练的视觉表示与机器人视角存在域差异。；之前方法的问题：直接将人类视频特征用于机器人操作，可能识别不到关键交互区域。；核心思路：利用配对的人类—机器人视频对视觉表示做适配，缩小两种视角/本体差距。；主要结果：作者报告多个操作任务的平均成功率提高超过 7%；具体比较条件见论文。；为什么重要：为低成本视频数据用于普通夹爪策略提供域适配方法。；与当前项目的关系：Medium：人类视频可能补充双臂数据，但动作仍需重定向。；主要局限：视觉特征对齐不等于动作空间和接触动力学也对齐。</x:v>
      </x:c>
      <x:c r="CH33" t="str">
        <x:v>直接将人类视频特征用于机器人操作，可能识别不到关键交互区域。</x:v>
      </x:c>
      <x:c r="CI33" t="str">
        <x:v>利用配对的人类—机器人视频对视觉表示做适配，缩小两种视角/本体差距。</x:v>
      </x:c>
      <x:c r="CJ33"/>
      <x:c r="CK33" t="str">
        <x:v>作者报告多个操作任务的平均成功率提高超过 7%；具体比较条件见论文。</x:v>
      </x:c>
      <x:c r="CL33" t="str">
        <x:v>为低成本视频数据用于普通夹爪策略提供域适配方法。</x:v>
      </x:c>
      <x:c r="CM33" t="str">
        <x:v>视觉特征对齐不等于动作空间和接触动力学也对齐。</x:v>
      </x:c>
      <x:c r="CN33"/>
      <x:c r="CO33" t="str">
        <x:v>Medium：人类视频可能补充双臂数据，但动作仍需重定向。</x:v>
      </x:c>
      <x:c r="CP33" t="str">
        <x:v>官方摘要/论文页; https://openaccess.thecvf.com/content/CVPR2025/html/Zhou_Mitigating_the_Human-Robot_Domain_Discrepancy_in_Visual_Pre-training_for_Robotic_CVPR_2025_paper.html; 核验于 2026-09-23. 仅为摘要级速读；原 Evidence Quality 不变。 - 核验层级：摘要有可追溯来源</x:v>
      </x:c>
      <x:c r="CQ33" t="str">
        <x:v>final-pdf-author</x:v>
      </x:c>
      <x:c r="CR33" t="n">
        <x:v>0</x:v>
      </x:c>
      <x:c r="CS33" t="n">
        <x:v>0</x:v>
      </x:c>
    </x:row>
    <x:row r="34" ht="58" customHeight="1">
      <x:c r="A34" t="str">
        <x:v>A033</x:v>
      </x:c>
      <x:c r="B34" t="str">
        <x:v>RoboGround: Robotic Manipulation with Grounded Vision-Language Priors</x:v>
      </x:c>
      <x:c r="C34" t="str">
        <x:v>Huang, Haifeng; Chen, Xinyi; Chen, Yilun; Li, Hao; Han, Xiaoshen; Wang, Zehan; Wang, Tai; Pang, Jiangmiao; Zhao, Zhou</x:v>
      </x:c>
      <x:c r="D34" t="n">
        <x:v>2025</x:v>
      </x:c>
      <x:c r="E34" t="str">
        <x:v>CVPR</x:v>
      </x:c>
      <x:c r="F34" t="str">
        <x:v>A</x:v>
      </x:c>
      <x:c r="G34" t="str">
        <x:v>Official Conference Paper</x:v>
      </x:c>
      <x:c r="H34" t="str">
        <x:v>Method Paper</x:v>
      </x:c>
      <x:c r="I34" t="str">
        <x:v>Robot Manipulation; Generalization</x:v>
      </x:c>
      <x:c r="J34" t="str">
        <x:v>Grounding / Synthetic Data</x:v>
      </x:c>
      <x:c r="K34" t="str">
        <x:v>Grounding / Synthetic Data</x:v>
      </x:c>
      <x:c r="L34" t="e">
        <x:f>HYPERLINK("https://openaccess.thecvf.com/content/CVPR2025/html/Huang_RoboGround_Robotic_Manipulation_with_Grounded_Vision-Language_Priors_CVPR_2025_paper.html","论文")</x:f>
        <x:v>HYPERLINK is not implemented. linkLocation=https://openaccess.thecvf.com/content/CVPR2025/html/Huang_RoboGround_Robotic_Manipulation_with_Grounded_Vision-Language_Priors_CVPR_2025_paper.html, friendlyName=论文</x:v>
      </x:c>
      <x:c r="M34" t="str">
        <x:v>Unknown</x:v>
      </x:c>
      <x:c r="N34" t="str">
        <x:v>Unknown</x:v>
      </x:c>
      <x:c r="O34" t="str">
        <x:v>Unknown</x:v>
      </x:c>
      <x:c r="P34" t="str">
        <x:v>Unknown</x:v>
      </x:c>
      <x:c r="Q34" t="str">
        <x:v>Unknown</x:v>
      </x:c>
      <x:c r="R34" t="str">
        <x:v>Unknown</x:v>
      </x:c>
      <x:c r="S34" t="str">
        <x:v>Unknown</x:v>
      </x:c>
      <x:c r="T34" t="str">
        <x:v>Unknown</x:v>
      </x:c>
      <x:c r="U34" t="str">
        <x:v>Unknown</x:v>
      </x:c>
      <x:c r="V34" t="str">
        <x:v>Single Arm / Parallel Gripper</x:v>
      </x:c>
      <x:c r="W34" t="str">
        <x:v>Single Arm</x:v>
      </x:c>
      <x:c r="X34" t="str">
        <x:v>Parallel Gripper</x:v>
      </x:c>
      <x:c r="Y34" t="str">
        <x:v>Unknown</x:v>
      </x:c>
      <x:c r="Z34" t="str">
        <x:v>Unknown</x:v>
      </x:c>
      <x:c r="AA34" t="str">
        <x:v>Unknown</x:v>
      </x:c>
      <x:c r="AB34" t="str">
        <x:v>Unknown</x:v>
      </x:c>
      <x:c r="AC34" t="str">
        <x:v>P0</x:v>
      </x:c>
      <x:c r="AD34" t="str">
        <x:v>Official proceedings verified; CCF A via user-provided CCF 7th-edition venue mapping</x:v>
      </x:c>
      <x:c r="AE34" t="str">
        <x:v>2026-09-19</x:v>
      </x:c>
      <x:c r="AF34" t="str">
        <x:v>Formal main-conference or official conference track record verified from the official proceedings page. Unchecked metadata remains Unknown.</x:v>
      </x:c>
      <x:c r="AG34" t="str">
        <x:v>CCF A Conference</x:v>
      </x:c>
      <x:c r="AH34" t="str">
        <x:v>Official Conference Paper</x:v>
      </x:c>
      <x:c r="AI34" t="str">
        <x:v>No</x:v>
      </x:c>
      <x:c r="AJ34" t="str">
        <x:v>02_Papers/01_VLA/RoboGround.md</x:v>
      </x:c>
      <x:c r="AK34" t="str">
        <x:v>Strict CCF A</x:v>
      </x:c>
      <x:c r="AL34" t="str">
        <x:v>https://openaccess.thecvf.com/content/CVPR2025/html/Huang_RoboGround_Robotic_Manipulation_with_Grounded_Vision-Language_Priors_CVPR_2025_paper.html; official abstract/proceedings metadata</x:v>
      </x:c>
      <x:c r="AM34" t="str">
        <x:v>Abstract-level</x:v>
      </x:c>
      <x:c r="AN34" t="str">
        <x:v>Grounding / Synthetic Data</x:v>
      </x:c>
      <x:c r="AO34" t="str">
        <x:v>See canonical card Research Summary; generated only from official abstract-level evidence.</x:v>
      </x:c>
      <x:c r="AP34" t="str">
        <x:v>Grounding / Synthetic Data</x:v>
      </x:c>
      <x:c r="AQ34" t="str">
        <x:v>Real Robot=Unknown; Dataset/Benchmark/Robot Platform retain Unknown when not verified.</x:v>
      </x:c>
      <x:c r="AR34" t="str">
        <x:v>** 可用于 VLA/机器人基础模型路线对比；应重点核对动作头、训练数据与真机部署成本是否适合当前平台。</x:v>
      </x:c>
      <x:c r="AS34" t="str">
        <x:v>Project-stated CCF seventh-edition mapping; official row pending where noted</x:v>
      </x:c>
      <x:c r="AT34" t="str">
        <x:v>VLA</x:v>
      </x:c>
      <x:c r="AU34" t="n">
        <x:v>10</x:v>
      </x:c>
      <x:c r="AV34" t="str">
        <x:v>OpenAlex</x:v>
      </x:c>
      <x:c r="AW34" t="str">
        <x:v>2026-09-25</x:v>
      </x:c>
      <x:c r="AX34" t="str">
        <x:v>机器人策略需要可靠地定位目标物体与放置区域，才能在新场景中泛化。</x:v>
      </x:c>
      <x:c r="AY34" t="str">
        <x:v>Unknown / Needs Full-Paper Verification</x:v>
      </x:c>
      <x:c r="AZ34" t="str">
        <x:v>以 `Grounding / Synthetic Data` 为主要方法/能力线索；更细的结构和消融结论待正文核验。</x:v>
      </x:c>
      <x:c r="BA34" t="str">
        <x:v>论文使用基于 RoboCasa 的合成数据；卡片记录 24K 示范、112K 指令以及对象类别规模（Sec. 3、Appendix B）。</x:v>
      </x:c>
      <x:c r="BB34" t="str">
        <x:v>Unknown / Needs Full-Paper Verification</x:v>
      </x:c>
      <x:c r="BC34" t="str">
        <x:v>- We introduce \method, a grounding-aware robotic manipulation policy that leverages grounding masks as an intermediate representation to guide policy networks in object manipulation tasks.</x:v>
      </x:c>
      <x:c r="BD34" t="str">
        <x:v>Real Robot 字段为 `Unknown`；Dataset、Benchmark、Robot Platform 中的 Unknown 继续保留，不从题名推断。</x:v>
      </x:c>
      <x:c r="BE34" t="str">
        <x:v>官方摘要报告 Grounding mask 能改善策略泛化；快速摘要不填入未核对实验表的数字。</x:v>
      </x:c>
      <x:c r="BF34" t="str">
        <x:v>Unknown / Needs Full-Paper Verification</x:v>
      </x:c>
      <x:c r="BG34" t="str">
        <x:v>Library Analysis / Research Note: Unknown / Needs Full-Paper Verification</x:v>
      </x:c>
      <x:c r="BH34" t="str">
        <x:v>Grounding / Synthetic Data</x:v>
      </x:c>
      <x:c r="BI34" t="str">
        <x:v>B</x:v>
      </x:c>
      <x:c r="BJ34"/>
      <x:c r="BK34" t="str">
        <x:v>Unknown / Not Explicitly Reported in the currently accessible sources.</x:v>
      </x:c>
      <x:c r="BL34" t="str">
        <x:v>Unknown / Not Explicitly Reported in the currently accessible sources.</x:v>
      </x:c>
      <x:c r="BM34" t="str">
        <x:v>https://openalex.org/W4413147462</x:v>
      </x:c>
      <x:c r="BN34" t="str">
        <x:v>https://openaccess.thecvf.com/content/CVPR2025/html/Huang_RoboGround_Robotic_Manipulation_with_Grounded_Vision-Language_Priors_CVPR_2025_paper.html；官方摘要/论文集元数据</x:v>
      </x:c>
      <x:c r="BO34" t="str">
        <x:v>B-Code-Unverified</x:v>
      </x:c>
      <x:c r="BP34" t="str">
        <x:v>Not Found</x:v>
      </x:c>
      <x:c r="BQ34" t="str">
        <x:v>Unavailable</x:v>
      </x:c>
      <x:c r="BR34" t="str">
        <x:v>Unknown</x:v>
      </x:c>
      <x:c r="BS34" t="str">
        <x:v>https://openaccess.thecvf.com/content/CVPR2025/papers/Huang_RoboGround_Robotic_Manipulation_with_Grounded_Vision-Language_Priors_CVPR_2025_paper.pdf</x:v>
      </x:c>
      <x:c r="BT34" t="str">
        <x:v>No</x:v>
      </x:c>
      <x:c r="BU34" t="str">
        <x:v>No</x:v>
      </x:c>
      <x:c r="BV34" t="str">
        <x:v>No</x:v>
      </x:c>
      <x:c r="BW34" t="str">
        <x:v>No</x:v>
      </x:c>
      <x:c r="BX34" t="str">
        <x:v>No</x:v>
      </x:c>
      <x:c r="BY34" t="str">
        <x:v>No</x:v>
      </x:c>
      <x:c r="BZ34" t="str">
        <x:v>No</x:v>
      </x:c>
      <x:c r="CA34" t="str">
        <x:v>Matched</x:v>
      </x:c>
      <x:c r="CB34" t="str">
        <x:v>Not Found After Verification</x:v>
      </x:c>
      <x:c r="CC34" t="str">
        <x:v>Not Found After Verification</x:v>
      </x:c>
      <x:c r="CD34" t="str">
        <x:v>Audit logged - deep extraction pending</x:v>
      </x:c>
      <x:c r="CE34" t="str">
        <x:v>false</x:v>
      </x:c>
      <x:c r="CF34"/>
      <x:c r="CG34" t="str">
        <x:v>研究问题：机器人策略需要可靠地定位目标物体与放置区域，才能在新场景中泛化。；之前方法的问题：只靠最终动作监督，策略未必能学会稳定识别目标物体和放置区域。；核心思路：RoboGround 使用 Grounding mask 作为中间表示，向操作策略提供目标及空间形状信息。；主要结果：官方摘要报告 Grounding mask 能改善策略泛化；快速摘要不填入未核对实验表的数字。；为什么重要：可与 ReconVLA 比较“显式 mask”与“隐式目标区域重建”两种 Grounding 路线。；与当前项目的关系：High：有助于研究语言条件操作与 VLA 设计。；主要局限：合成数据和 mask 质量会影响迁移；真机覆盖范围仍需按论文实验表核验。</x:v>
      </x:c>
      <x:c r="CH34" t="str">
        <x:v>只靠最终动作监督，策略未必能学会稳定识别目标物体和放置区域。</x:v>
      </x:c>
      <x:c r="CI34" t="str">
        <x:v>RoboGround 使用 Grounding mask 作为中间表示，向操作策略提供目标及空间形状信息。</x:v>
      </x:c>
      <x:c r="CJ34"/>
      <x:c r="CK34" t="str">
        <x:v>官方摘要报告 Grounding mask 能改善策略泛化；快速摘要不填入未核对实验表的数字。</x:v>
      </x:c>
      <x:c r="CL34" t="str">
        <x:v>可与 ReconVLA 比较“显式 mask”与“隐式目标区域重建”两种 Grounding 路线。</x:v>
      </x:c>
      <x:c r="CM34" t="str">
        <x:v>合成数据和 mask 质量会影响迁移；真机覆盖范围仍需按论文实验表核验。</x:v>
      </x:c>
      <x:c r="CN34"/>
      <x:c r="CO34" t="str">
        <x:v>High：有助于研究语言条件操作与 VLA 设计。</x:v>
      </x:c>
      <x:c r="CP34" t="str">
        <x:v>官方摘要/论文页; https://arxiv.org/html/2504.21530; 核验于 2026-09-23. 仅为摘要级速读；原 Evidence Quality 不变。 - 核验层级：摘要有可追溯来源</x:v>
      </x:c>
      <x:c r="CQ34" t="str">
        <x:v>title</x:v>
      </x:c>
      <x:c r="CR34" t="n">
        <x:v>3</x:v>
      </x:c>
      <x:c r="CS34" t="n">
        <x:v>1</x:v>
      </x:c>
    </x:row>
    <x:row r="35" ht="58" customHeight="1">
      <x:c r="A35" t="str">
        <x:v>A034</x:v>
      </x:c>
      <x:c r="B35" t="str">
        <x:v>DynScene: Scalable Generation of Dynamic Robotic Manipulation Scenes for Embodied AI</x:v>
      </x:c>
      <x:c r="C35" t="str">
        <x:v>Lee, Sangmin; Park, Sungyong; Kim, Heewon</x:v>
      </x:c>
      <x:c r="D35" t="n">
        <x:v>2025</x:v>
      </x:c>
      <x:c r="E35" t="str">
        <x:v>CVPR</x:v>
      </x:c>
      <x:c r="F35" t="str">
        <x:v>A</x:v>
      </x:c>
      <x:c r="G35" t="str">
        <x:v>Official Conference Paper</x:v>
      </x:c>
      <x:c r="H35" t="str">
        <x:v>Method Paper</x:v>
      </x:c>
      <x:c r="I35" t="str">
        <x:v>Robot Manipulation; Data</x:v>
      </x:c>
      <x:c r="J35" t="str">
        <x:v>Synthetic Data / Scene Generation</x:v>
      </x:c>
      <x:c r="K35" t="str">
        <x:v>Synthetic Data / Scene Generation</x:v>
      </x:c>
      <x:c r="L35" t="e">
        <x:f>HYPERLINK("https://openaccess.thecvf.com/content/CVPR2025/html/Lee_DynScene_Scalable_Generation_of_Dynamic_Robotic_Manipulation_Scenes_for_Embodied_CVPR_2025_paper.html","论文")</x:f>
        <x:v>HYPERLINK is not implemented. linkLocation=https://openaccess.thecvf.com/content/CVPR2025/html/Lee_DynScene_Scalable_Generation_of_Dynamic_Robotic_Manipulation_Scenes_for_Embodied_CVPR_2025_paper.html, friendlyName=论文</x:v>
      </x:c>
      <x:c r="M35" t="str">
        <x:v>Unknown</x:v>
      </x:c>
      <x:c r="N35" t="str">
        <x:v>Unknown</x:v>
      </x:c>
      <x:c r="O35" t="str">
        <x:v>Unknown</x:v>
      </x:c>
      <x:c r="P35" t="str">
        <x:v>Unknown</x:v>
      </x:c>
      <x:c r="Q35" t="str">
        <x:v>Unknown</x:v>
      </x:c>
      <x:c r="R35" t="str">
        <x:v>Unknown</x:v>
      </x:c>
      <x:c r="S35" t="str">
        <x:v>Unknown</x:v>
      </x:c>
      <x:c r="T35" t="str">
        <x:v>Unknown</x:v>
      </x:c>
      <x:c r="U35" t="str">
        <x:v>Unknown</x:v>
      </x:c>
      <x:c r="V35" t="str">
        <x:v>Simulation Only</x:v>
      </x:c>
      <x:c r="W35" t="str">
        <x:v>Unknown</x:v>
      </x:c>
      <x:c r="X35" t="str">
        <x:v>Unknown</x:v>
      </x:c>
      <x:c r="Y35" t="str">
        <x:v>No</x:v>
      </x:c>
      <x:c r="Z35" t="str">
        <x:v>Unknown</x:v>
      </x:c>
      <x:c r="AA35" t="str">
        <x:v>Unknown</x:v>
      </x:c>
      <x:c r="AB35" t="str">
        <x:v>Simulation Only</x:v>
      </x:c>
      <x:c r="AC35" t="str">
        <x:v>P1</x:v>
      </x:c>
      <x:c r="AD35" t="str">
        <x:v>Official proceedings verified; CCF A via user-provided CCF 7th-edition venue mapping</x:v>
      </x:c>
      <x:c r="AE35" t="str">
        <x:v>2026-09-19</x:v>
      </x:c>
      <x:c r="AF35" t="str">
        <x:v>Formal main-conference or official conference track record verified from the official proceedings page. Unchecked metadata remains Unknown.</x:v>
      </x:c>
      <x:c r="AG35" t="str">
        <x:v>CCF A Conference</x:v>
      </x:c>
      <x:c r="AH35" t="str">
        <x:v>Official Conference Paper</x:v>
      </x:c>
      <x:c r="AI35" t="str">
        <x:v>No</x:v>
      </x:c>
      <x:c r="AJ35" t="str">
        <x:v>02_Papers/08_Data_Teleoperation/DynScene.md</x:v>
      </x:c>
      <x:c r="AK35" t="str">
        <x:v>Strict CCF A</x:v>
      </x:c>
      <x:c r="AL35" t="str">
        <x:v>https://openaccess.thecvf.com/content/CVPR2025/html/Lee_DynScene_Scalable_Generation_of_Dynamic_Robotic_Manipulation_Scenes_for_Embodied_CVPR_2025_paper.html; official abstract/proceedings metadata</x:v>
      </x:c>
      <x:c r="AM35" t="str">
        <x:v>Abstract-level</x:v>
      </x:c>
      <x:c r="AN35" t="str">
        <x:v>Synthetic Data / Scene Generation</x:v>
      </x:c>
      <x:c r="AO35" t="str">
        <x:v>See canonical card Research Summary; generated only from official abstract-level evidence.</x:v>
      </x:c>
      <x:c r="AP35" t="str">
        <x:v>Synthetic Data / Scene Generation</x:v>
      </x:c>
      <x:c r="AQ35" t="str">
        <x:v>Real Robot=No; Dataset/Benchmark/Robot Platform retain Unknown when not verified.</x:v>
      </x:c>
      <x:c r="AR35" t="str">
        <x:v>** 与机器人操作、模仿学习或策略泛化相关；是否进入 L2/L3 取决于与双臂普通夹爪平台的可迁移性。</x:v>
      </x:c>
      <x:c r="AS35" t="str">
        <x:v>Project-stated CCF seventh-edition mapping; official row pending where noted</x:v>
      </x:c>
      <x:c r="AT35" t="str">
        <x:v>Data / Teleoperation</x:v>
      </x:c>
      <x:c r="AU35" t="n">
        <x:v>4</x:v>
      </x:c>
      <x:c r="AV35" t="str">
        <x:v>Crossref</x:v>
      </x:c>
      <x:c r="AW35" t="str">
        <x:v>2026-09-25</x:v>
      </x:c>
      <x:c r="AX35" t="str">
        <x:v>机器人操作需要规模大且接近真实交互的训练场景。</x:v>
      </x:c>
      <x:c r="AY35" t="str">
        <x:v>Unknown / Needs Full-Paper Verification</x:v>
      </x:c>
      <x:c r="AZ35" t="str">
        <x:v>以 `Synthetic Data / Scene Generation` 为主要方法/能力线索；更细的结构和消融结论待正文核验。</x:v>
      </x:c>
      <x:c r="BA35" t="str">
        <x:v>已核验摘要未明确说明；需查阅论文方法与实验章节。</x:v>
      </x:c>
      <x:c r="BB35" t="str">
        <x:v>Unknown / Needs Full-Paper Verification</x:v>
      </x:c>
      <x:c r="BC35" t="str">
        <x:v>- We present DynScene, a diffusion-based framework for generating dynamic robotic manipulation scenes directly from textual instructions.</x:v>
      </x:c>
      <x:c r="BD35" t="str">
        <x:v>Real Robot 字段为 `No`；Dataset、Benchmark、Robot Platform 中的 Unknown 继续保留，不从题名推断。</x:v>
      </x:c>
      <x:c r="BE35" t="str">
        <x:v>Unknown / Needs Full-Paper Verification</x:v>
      </x:c>
      <x:c r="BF35" t="str">
        <x:v>Unknown / Needs Full-Paper Verification</x:v>
      </x:c>
      <x:c r="BG35" t="str">
        <x:v>Library Analysis / Research Note: Unknown / Needs Full-Paper Verification</x:v>
      </x:c>
      <x:c r="BH35" t="str">
        <x:v>Synthetic Data / Scene Generation</x:v>
      </x:c>
      <x:c r="BI35" t="str">
        <x:v>B</x:v>
      </x:c>
      <x:c r="BJ35"/>
      <x:c r="BK35" t="str">
        <x:v>Unknown / Not Explicitly Reported in the currently accessible sources.</x:v>
      </x:c>
      <x:c r="BL35" t="str">
        <x:v>Unknown / Not Explicitly Reported in the currently accessible sources.</x:v>
      </x:c>
      <x:c r="BM35" t="str">
        <x:v>https://api.crossref.org/works/10.1109/cvpr52734.2025.01136</x:v>
      </x:c>
      <x:c r="BN35" t="str">
        <x:v>https://openaccess.thecvf.com/content/CVPR2025/html/Lee_DynScene_Scalable_Generation_of_Dynamic_Robotic_Manipulation_Scenes_for_Embodied_CVPR_2025_paper.html；官方摘要/论文集元数据</x:v>
      </x:c>
      <x:c r="BO35" t="str">
        <x:v>B-Code-Unverified</x:v>
      </x:c>
      <x:c r="BP35" t="str">
        <x:v>Not Found</x:v>
      </x:c>
      <x:c r="BQ35" t="str">
        <x:v>Unavailable</x:v>
      </x:c>
      <x:c r="BR35" t="str">
        <x:v>Unknown</x:v>
      </x:c>
      <x:c r="BS35" t="str">
        <x:v>https://openaccess.thecvf.com/content/CVPR2025/papers/Lee_DynScene_Scalable_Generation_of_Dynamic_Robotic_Manipulation_Scenes_for_Embodied_CVPR_2025_paper.pdf</x:v>
      </x:c>
      <x:c r="BT35" t="str">
        <x:v>No</x:v>
      </x:c>
      <x:c r="BU35" t="str">
        <x:v>No</x:v>
      </x:c>
      <x:c r="BV35" t="str">
        <x:v>No</x:v>
      </x:c>
      <x:c r="BW35" t="str">
        <x:v>No</x:v>
      </x:c>
      <x:c r="BX35" t="str">
        <x:v>No</x:v>
      </x:c>
      <x:c r="BY35" t="str">
        <x:v>No</x:v>
      </x:c>
      <x:c r="BZ35" t="str">
        <x:v>No</x:v>
      </x:c>
      <x:c r="CA35" t="str">
        <x:v>Matched</x:v>
      </x:c>
      <x:c r="CB35" t="str">
        <x:v>Not Found After Verification</x:v>
      </x:c>
      <x:c r="CC35" t="str">
        <x:v>Not Found After Verification</x:v>
      </x:c>
      <x:c r="CD35" t="str">
        <x:v>Audit logged - deep extraction pending</x:v>
      </x:c>
      <x:c r="CE35" t="str">
        <x:v>false</x:v>
      </x:c>
      <x:c r="CF35"/>
      <x:c r="CG35" t="str">
        <x:v>研究问题：机器人操作需要规模大且接近真实交互的训练场景。；之前方法的问题：人工制作动态场景速度慢，动作多样性不足。；核心思路：DynScene 根据文字指令用扩散模型生成动态机器人操作场景。；为什么重要：为扩展双臂训练环境提供合成数据思路。；与当前项目的关系：Medium：生成场景需经过真机接触与任务相关性验证。；主要局限：场景多样性不一定等于真实机器人成功率提升。</x:v>
      </x:c>
      <x:c r="CH35" t="str">
        <x:v>人工制作动态场景速度慢，动作多样性不足。</x:v>
      </x:c>
      <x:c r="CI35" t="str">
        <x:v>DynScene 根据文字指令用扩散模型生成动态机器人操作场景。</x:v>
      </x:c>
      <x:c r="CJ35"/>
      <x:c r="CK35" t="str">
        <x:v>卡片记录生成速度提高 26.8 倍、准确率提高 1.84 倍、动作多样性提高 28%；指标定义见原文。</x:v>
      </x:c>
      <x:c r="CL35" t="str">
        <x:v>为扩展双臂训练环境提供合成数据思路。</x:v>
      </x:c>
      <x:c r="CM35" t="str">
        <x:v>场景多样性不一定等于真实机器人成功率提升。</x:v>
      </x:c>
      <x:c r="CN35"/>
      <x:c r="CO35" t="str">
        <x:v>Medium：生成场景需经过真机接触与任务相关性验证。</x:v>
      </x:c>
      <x:c r="CP35" t="str">
        <x:v>官方摘要/论文页; https://openaccess.thecvf.com/content/CVPR2025/html/Lee_DynScene_Scalable_Generation_of_Dynamic_Robotic_Manipulation_Scenes_for_Embodied_CVPR_2025_paper.html; 核验于 2026-09-23. 仅为摘要级速读；原 Evidence Quality 不变。 - 核验层级：摘要有可追溯来源</x:v>
      </x:c>
      <x:c r="CQ35" t="str">
        <x:v>crossref-exact-title-pdf-authors</x:v>
      </x:c>
      <x:c r="CR35" t="n">
        <x:v>0</x:v>
      </x:c>
      <x:c r="CS35" t="n">
        <x:v>0</x:v>
      </x:c>
    </x:row>
    <x:row r="36" ht="58" customHeight="1">
      <x:c r="A36" t="str">
        <x:v>A035</x:v>
      </x:c>
      <x:c r="B36" t="str">
        <x:v>Think Small, Act Big: Primitive Prompt Learning for Lifelong Robot Manipulation</x:v>
      </x:c>
      <x:c r="C36" t="str">
        <x:v>Yao, Yuanqi; Liu, Siao; Song, Haoming; Qu, Delin; Chen, Qizhi; Ding, Yan; Zhao, Bin; Wang, Zhigang; Li, Xuelong; Wang, Dong</x:v>
      </x:c>
      <x:c r="D36" t="n">
        <x:v>2025</x:v>
      </x:c>
      <x:c r="E36" t="str">
        <x:v>CVPR</x:v>
      </x:c>
      <x:c r="F36" t="str">
        <x:v>A</x:v>
      </x:c>
      <x:c r="G36" t="str">
        <x:v>Official Conference Paper</x:v>
      </x:c>
      <x:c r="H36" t="str">
        <x:v>Method Paper</x:v>
      </x:c>
      <x:c r="I36" t="str">
        <x:v>Robot Manipulation; Generalization</x:v>
      </x:c>
      <x:c r="J36" t="str">
        <x:v>Lifelong Learning</x:v>
      </x:c>
      <x:c r="K36" t="str">
        <x:v>Lifelong Learning</x:v>
      </x:c>
      <x:c r="L36" t="e">
        <x:f>HYPERLINK("https://openaccess.thecvf.com/content/CVPR2025/html/Yao_Think_Small_Act_Big_Primitive_Prompt_Learning_for_Lifelong_Robot_CVPR_2025_paper.html","论文")</x:f>
        <x:v>HYPERLINK is not implemented. linkLocation=https://openaccess.thecvf.com/content/CVPR2025/html/Yao_Think_Small_Act_Big_Primitive_Prompt_Learning_for_Lifelong_Robot_CVPR_2025_paper.html, friendlyName=论文</x:v>
      </x:c>
      <x:c r="M36" t="str">
        <x:v>Unknown</x:v>
      </x:c>
      <x:c r="N36" t="str">
        <x:v>Unknown</x:v>
      </x:c>
      <x:c r="O36" t="str">
        <x:v>Unknown</x:v>
      </x:c>
      <x:c r="P36" t="str">
        <x:v>Unknown</x:v>
      </x:c>
      <x:c r="Q36" t="str">
        <x:v>Unknown</x:v>
      </x:c>
      <x:c r="R36" t="str">
        <x:v>Unknown</x:v>
      </x:c>
      <x:c r="S36" t="str">
        <x:v>Unknown</x:v>
      </x:c>
      <x:c r="T36" t="str">
        <x:v>Unknown</x:v>
      </x:c>
      <x:c r="U36" t="str">
        <x:v>Unknown</x:v>
      </x:c>
      <x:c r="V36" t="str">
        <x:v>Single Arm / Parallel Gripper</x:v>
      </x:c>
      <x:c r="W36" t="str">
        <x:v>Single Arm</x:v>
      </x:c>
      <x:c r="X36" t="str">
        <x:v>Parallel Gripper</x:v>
      </x:c>
      <x:c r="Y36" t="str">
        <x:v>Yes</x:v>
      </x:c>
      <x:c r="Z36" t="str">
        <x:v>Unknown</x:v>
      </x:c>
      <x:c r="AA36" t="str">
        <x:v>Unknown</x:v>
      </x:c>
      <x:c r="AB36" t="str">
        <x:v>Unknown</x:v>
      </x:c>
      <x:c r="AC36" t="str">
        <x:v>P1</x:v>
      </x:c>
      <x:c r="AD36" t="str">
        <x:v>Official proceedings verified; CCF A via user-provided CCF 7th-edition venue mapping</x:v>
      </x:c>
      <x:c r="AE36" t="str">
        <x:v>2026-09-19</x:v>
      </x:c>
      <x:c r="AF36" t="str">
        <x:v>Formal main-conference or official conference track record verified from the official proceedings page. Unchecked metadata remains Unknown.</x:v>
      </x:c>
      <x:c r="AG36" t="str">
        <x:v>CCF A Conference</x:v>
      </x:c>
      <x:c r="AH36" t="str">
        <x:v>Official Conference Paper</x:v>
      </x:c>
      <x:c r="AI36" t="str">
        <x:v>No</x:v>
      </x:c>
      <x:c r="AJ36" t="str">
        <x:v>02_Papers/07_Generalization_LongHorizon/Think_Small,_Act_Big.md</x:v>
      </x:c>
      <x:c r="AK36" t="str">
        <x:v>Strict CCF A</x:v>
      </x:c>
      <x:c r="AL36" t="str">
        <x:v>https://openaccess.thecvf.com/content/CVPR2025/html/Yao_Think_Small_Act_Big_Primitive_Prompt_Learning_for_Lifelong_Robot_CVPR_2025_paper.html; official abstract/proceedings metadata</x:v>
      </x:c>
      <x:c r="AM36" t="str">
        <x:v>Abstract-level</x:v>
      </x:c>
      <x:c r="AN36" t="str">
        <x:v>Lifelong Learning</x:v>
      </x:c>
      <x:c r="AO36" t="str">
        <x:v>See canonical card Research Summary; generated only from official abstract-level evidence.</x:v>
      </x:c>
      <x:c r="AP36" t="str">
        <x:v>Lifelong Learning</x:v>
      </x:c>
      <x:c r="AQ36" t="str">
        <x:v>Real Robot=Yes; Dataset/Benchmark/Robot Platform retain Unknown when not verified.</x:v>
      </x:c>
      <x:c r="AR36" t="str">
        <x:v>** 与机器人操作、模仿学习或策略泛化相关；是否进入 L2/L3 取决于与双臂普通夹爪平台的可迁移性。</x:v>
      </x:c>
      <x:c r="AS36" t="str">
        <x:v>Project-stated CCF seventh-edition mapping; official row pending where noted</x:v>
      </x:c>
      <x:c r="AT36" t="str">
        <x:v>Generalization / Long-Horizon</x:v>
      </x:c>
      <x:c r="AU36" t="n">
        <x:v>4</x:v>
      </x:c>
      <x:c r="AV36" t="str">
        <x:v>Crossref</x:v>
      </x:c>
      <x:c r="AW36" t="str">
        <x:v>2026-09-25</x:v>
      </x:c>
      <x:c r="AX36" t="str">
        <x:v>通用机器人要在不断遇到新任务时持续获得技能。</x:v>
      </x:c>
      <x:c r="AY36" t="str">
        <x:v>Unknown / Needs Full-Paper Verification</x:v>
      </x:c>
      <x:c r="AZ36" t="str">
        <x:v>以 `Lifelong Learning` 为主要方法/能力线索；更细的结构和消融结论待正文核验。</x:v>
      </x:c>
      <x:c r="BA36" t="str">
        <x:v>已核验摘要未明确说明；需查阅论文方法与实验章节。</x:v>
      </x:c>
      <x:c r="BB36" t="str">
        <x:v>Unknown / Needs Full-Paper Verification</x:v>
      </x:c>
      <x:c r="BC36" t="str">
        <x:v>- To tackle these issues, we propose Primitive Prompt Learning (PPL), to achieve lifelong robot manipulation via reusable and extensible primitives.</x:v>
      </x:c>
      <x:c r="BD36" t="str">
        <x:v>Real Robot 字段为 `Yes`；Dataset、Benchmark、Robot Platform 中的 Unknown 继续保留，不从题名推断。</x:v>
      </x:c>
      <x:c r="BE36" t="str">
        <x:v>作者报告构建大规模技能数据并在仿真与真机上评估；统一数值需查论文。</x:v>
      </x:c>
      <x:c r="BF36" t="str">
        <x:v>Unknown / Needs Full-Paper Verification</x:v>
      </x:c>
      <x:c r="BG36" t="str">
        <x:v>Library Analysis / Research Note: Unknown / Needs Full-Paper Verification</x:v>
      </x:c>
      <x:c r="BH36" t="str">
        <x:v>Lifelong Learning</x:v>
      </x:c>
      <x:c r="BI36" t="str">
        <x:v>B</x:v>
      </x:c>
      <x:c r="BJ36"/>
      <x:c r="BK36" t="str">
        <x:v>Unknown / Not Explicitly Reported in the currently accessible sources.</x:v>
      </x:c>
      <x:c r="BL36" t="str">
        <x:v>Unknown / Not Explicitly Reported in the currently accessible sources.</x:v>
      </x:c>
      <x:c r="BM36" t="str">
        <x:v>https://api.crossref.org/works/10.1109/cvpr52734.2025.02102</x:v>
      </x:c>
      <x:c r="BN36" t="str">
        <x:v>https://openaccess.thecvf.com/content/CVPR2025/html/Yao_Think_Small_Act_Big_Primitive_Prompt_Learning_for_Lifelong_Robot_CVPR_2025_paper.html；官方摘要/论文集元数据</x:v>
      </x:c>
      <x:c r="BO36" t="str">
        <x:v>B-Code-Unverified</x:v>
      </x:c>
      <x:c r="BP36" t="str">
        <x:v>Not Found</x:v>
      </x:c>
      <x:c r="BQ36" t="str">
        <x:v>Unavailable</x:v>
      </x:c>
      <x:c r="BR36" t="str">
        <x:v>Unknown</x:v>
      </x:c>
      <x:c r="BS36" t="str">
        <x:v>https://openaccess.thecvf.com/content/CVPR2025/papers/Yao_Think_Small_Act_Big_Primitive_Prompt_Learning_for_Lifelong_Robot_CVPR_2025_paper.pdf</x:v>
      </x:c>
      <x:c r="BT36" t="str">
        <x:v>No</x:v>
      </x:c>
      <x:c r="BU36" t="str">
        <x:v>No</x:v>
      </x:c>
      <x:c r="BV36" t="str">
        <x:v>No</x:v>
      </x:c>
      <x:c r="BW36" t="str">
        <x:v>No</x:v>
      </x:c>
      <x:c r="BX36" t="str">
        <x:v>No</x:v>
      </x:c>
      <x:c r="BY36" t="str">
        <x:v>No</x:v>
      </x:c>
      <x:c r="BZ36" t="str">
        <x:v>No</x:v>
      </x:c>
      <x:c r="CA36" t="str">
        <x:v>Matched</x:v>
      </x:c>
      <x:c r="CB36" t="str">
        <x:v>Not Found After Verification</x:v>
      </x:c>
      <x:c r="CC36" t="str">
        <x:v>Not Found After Verification</x:v>
      </x:c>
      <x:c r="CD36" t="str">
        <x:v>Audit logged - deep extraction pending</x:v>
      </x:c>
      <x:c r="CE36" t="str">
        <x:v>false</x:v>
      </x:c>
      <x:c r="CF36"/>
      <x:c r="CG36" t="str">
        <x:v>研究问题：通用机器人要在不断遇到新任务时持续获得技能。；之前方法的问题：每个新任务单独训练会浪费已有的基本动作知识。；核心思路：Primitive Prompt Learning（PPL）复用基础技能提示，支持终身操作学习。；主要结果：作者报告构建大规模技能数据并在仿真与真机上评估；统一数值需查论文。；为什么重要：将技能复用和长期学习连接起来。；与当前项目的关系：Medium：未来双臂技能库可参考，但短期先打通基础实验。；主要局限：新任务是否真的能零样本组合，以及失败如何恢复，需独立核验。</x:v>
      </x:c>
      <x:c r="CH36" t="str">
        <x:v>每个新任务单独训练会浪费已有的基本动作知识。</x:v>
      </x:c>
      <x:c r="CI36" t="str">
        <x:v>Primitive Prompt Learning（PPL）复用基础技能提示，支持终身操作学习。</x:v>
      </x:c>
      <x:c r="CJ36"/>
      <x:c r="CK36" t="str">
        <x:v>作者报告构建大规模技能数据并在仿真与真机上评估；统一数值需查论文。</x:v>
      </x:c>
      <x:c r="CL36" t="str">
        <x:v>将技能复用和长期学习连接起来。</x:v>
      </x:c>
      <x:c r="CM36" t="str">
        <x:v>新任务是否真的能零样本组合，以及失败如何恢复，需独立核验。</x:v>
      </x:c>
      <x:c r="CN36"/>
      <x:c r="CO36" t="str">
        <x:v>Medium：未来双臂技能库可参考，但短期先打通基础实验。</x:v>
      </x:c>
      <x:c r="CP36" t="str">
        <x:v>官方摘要/论文页; https://openaccess.thecvf.com/content/CVPR2025/html/Yao_Think_Small_Act_Big_Primitive_Prompt_Learning_for_Lifelong_Robot_CVPR_2025_paper.html; 核验于 2026-09-23. 仅为摘要级速读；原 Evidence Quality 不变。 - 核验层级：摘要有可追溯来源</x:v>
      </x:c>
      <x:c r="CQ36" t="str">
        <x:v>crossref-exact-title-pdf-authors</x:v>
      </x:c>
      <x:c r="CR36" t="n">
        <x:v>0</x:v>
      </x:c>
      <x:c r="CS36" t="n">
        <x:v>2</x:v>
      </x:c>
    </x:row>
    <x:row r="37" ht="58" customHeight="1">
      <x:c r="A37" t="str">
        <x:v>A036</x:v>
      </x:c>
      <x:c r="B37" t="str">
        <x:v>Self-Correcting Robot Manipulation via Gaussian-Splatted Foresight</x:v>
      </x:c>
      <x:c r="C37" t="str">
        <x:v>Unknown — not extracted in this pass</x:v>
      </x:c>
      <x:c r="D37" t="n">
        <x:v>2025</x:v>
      </x:c>
      <x:c r="E37" t="str">
        <x:v>AAAI</x:v>
      </x:c>
      <x:c r="F37" t="str">
        <x:v>A</x:v>
      </x:c>
      <x:c r="G37" t="str">
        <x:v>Official Conference Paper</x:v>
      </x:c>
      <x:c r="H37" t="str">
        <x:v>Method Paper</x:v>
      </x:c>
      <x:c r="I37" t="str">
        <x:v>Robot Manipulation</x:v>
      </x:c>
      <x:c r="J37" t="str">
        <x:v>Failure Recovery / 3D Gaussian Splatting</x:v>
      </x:c>
      <x:c r="K37" t="str">
        <x:v>Failure Recovery / 3D Gaussian Splatting</x:v>
      </x:c>
      <x:c r="L37" t="e">
        <x:f>HYPERLINK("https://ojs.aaai.org/index.php/AAAI/article/view/34866","论文")</x:f>
        <x:v>HYPERLINK is not implemented. linkLocation=https://ojs.aaai.org/index.php/AAAI/article/view/34866, friendlyName=论文</x:v>
      </x:c>
      <x:c r="M37" t="str">
        <x:v>Unknown</x:v>
      </x:c>
      <x:c r="N37" t="str">
        <x:v>Unknown</x:v>
      </x:c>
      <x:c r="O37" t="str">
        <x:v>Unknown</x:v>
      </x:c>
      <x:c r="P37" t="str">
        <x:v>Unknown</x:v>
      </x:c>
      <x:c r="Q37" t="str">
        <x:v>Unknown</x:v>
      </x:c>
      <x:c r="R37" t="str">
        <x:v>Unknown</x:v>
      </x:c>
      <x:c r="S37" t="str">
        <x:v>Unknown</x:v>
      </x:c>
      <x:c r="T37" t="str">
        <x:v>Unknown</x:v>
      </x:c>
      <x:c r="U37" t="str">
        <x:v>Unknown</x:v>
      </x:c>
      <x:c r="V37" t="str">
        <x:v>Simulation Only</x:v>
      </x:c>
      <x:c r="W37" t="str">
        <x:v>Unknown</x:v>
      </x:c>
      <x:c r="X37" t="str">
        <x:v>Unknown</x:v>
      </x:c>
      <x:c r="Y37" t="str">
        <x:v>No</x:v>
      </x:c>
      <x:c r="Z37" t="str">
        <x:v>Unknown</x:v>
      </x:c>
      <x:c r="AA37" t="str">
        <x:v>Unknown</x:v>
      </x:c>
      <x:c r="AB37" t="str">
        <x:v>Simulation Only</x:v>
      </x:c>
      <x:c r="AC37" t="str">
        <x:v>P1</x:v>
      </x:c>
      <x:c r="AD37" t="str">
        <x:v>Official proceedings verified; CCF A via user-provided CCF 7th-edition venue mapping</x:v>
      </x:c>
      <x:c r="AE37" t="str">
        <x:v>2026-09-19</x:v>
      </x:c>
      <x:c r="AF37" t="str">
        <x:v>Formal main-conference or official conference track record verified from the official proceedings page. Unchecked metadata remains Unknown.</x:v>
      </x:c>
      <x:c r="AG37" t="str">
        <x:v>CCF A Conference</x:v>
      </x:c>
      <x:c r="AH37" t="str">
        <x:v>Official Conference Paper</x:v>
      </x:c>
      <x:c r="AI37" t="str">
        <x:v>No</x:v>
      </x:c>
      <x:c r="AJ37" t="str">
        <x:v>02_Papers/07_Generalization_LongHorizon/Self-Correcting_Robot_Manipulation_via_Gaussian-Splatted_Foresight.md</x:v>
      </x:c>
      <x:c r="AK37" t="str">
        <x:v>Strict CCF A</x:v>
      </x:c>
      <x:c r="AL37" t="str">
        <x:v>https://ojs.aaai.org/index.php/AAAI/article/view/34866; official abstract/proceedings metadata</x:v>
      </x:c>
      <x:c r="AM37" t="str">
        <x:v>Abstract-level</x:v>
      </x:c>
      <x:c r="AN37" t="str">
        <x:v>Failure Recovery / 3D Gaussian Splatting</x:v>
      </x:c>
      <x:c r="AO37" t="str">
        <x:v>Pending official abstract/full-text verification.</x:v>
      </x:c>
      <x:c r="AP37" t="str">
        <x:v>Failure Recovery / 3D Gaussian Splatting</x:v>
      </x:c>
      <x:c r="AQ37" t="str">
        <x:v>Real Robot=No; Dataset/Benchmark/Robot Platform retain Unknown when not verified.</x:v>
      </x:c>
      <x:c r="AR37" t="str">
        <x:v>** 与机器人操作、模仿学习或策略泛化相关；是否进入 L2/L3 取决于与双臂普通夹爪平台的可迁移性。</x:v>
      </x:c>
      <x:c r="AS37" t="str">
        <x:v>Project-stated CCF seventh-edition mapping; official row pending where noted</x:v>
      </x:c>
      <x:c r="AT37" t="str">
        <x:v>Generalization / Long-Horizon</x:v>
      </x:c>
      <x:c r="AU37" t="n">
        <x:v>0</x:v>
      </x:c>
      <x:c r="AV37" t="str">
        <x:v>OpenAlex</x:v>
      </x:c>
      <x:c r="AW37" t="str">
        <x:v>2026-09-25</x:v>
      </x:c>
      <x:c r="AX37" t="str">
        <x:v>策略执行后可能没有达到预测的场景状态，却仍继续下一步。</x:v>
      </x:c>
      <x:c r="AY37" t="str">
        <x:v>Unknown / Needs Full-Paper Verification</x:v>
      </x:c>
      <x:c r="AZ37" t="str">
        <x:v>以 `Failure Recovery / 3D Gaussian Splatting` 为主要方法/能力线索；更细的结构和消融结论待正文核验。</x:v>
      </x:c>
      <x:c r="BA37" t="str">
        <x:v>RLBench：10 项任务、166 种变化。</x:v>
      </x:c>
      <x:c r="BB37" t="str">
        <x:v>Unknown / Needs Full-Paper Verification</x:v>
      </x:c>
      <x:c r="BC37" t="str">
        <x:v>- 官方题名与元数据已确认；具体表述待补读官方摘要或正文。</x:v>
      </x:c>
      <x:c r="BD37" t="str">
        <x:v>Real Robot 字段为 `No`；Dataset、Benchmark、Robot Platform 中的 Unknown 继续保留，不从题名推断。</x:v>
      </x:c>
      <x:c r="BE37" t="str">
        <x:v>AAAI 官方摘要报告在 RLBench 10 项任务、166 种变化上，平均成功率比所比较方法高 12.0 个百分点。</x:v>
      </x:c>
      <x:c r="BF37" t="str">
        <x:v>Unknown / Needs Full-Paper Verification</x:v>
      </x:c>
      <x:c r="BG37" t="str">
        <x:v>Library Analysis / Research Note: Unknown / Needs Full-Paper Verification</x:v>
      </x:c>
      <x:c r="BH37" t="str">
        <x:v>Failure Recovery / 3D Gaussian Splatting</x:v>
      </x:c>
      <x:c r="BI37" t="str">
        <x:v>B</x:v>
      </x:c>
      <x:c r="BJ37"/>
      <x:c r="BK37" t="str">
        <x:v>Unknown / Not Explicitly Reported in the currently accessible sources.</x:v>
      </x:c>
      <x:c r="BL37" t="str">
        <x:v>Unknown / Not Explicitly Reported in the currently accessible sources.</x:v>
      </x:c>
      <x:c r="BM37" t="str">
        <x:v>https://openalex.org/W4409362855</x:v>
      </x:c>
      <x:c r="BN37" t="str">
        <x:v>https://ojs.aaai.org/index.php/AAAI/article/view/34866；官方摘要/论文集元数据</x:v>
      </x:c>
      <x:c r="BO37" t="str">
        <x:v>B-Code-Unverified</x:v>
      </x:c>
      <x:c r="BP37" t="str">
        <x:v>Not Found</x:v>
      </x:c>
      <x:c r="BQ37" t="str">
        <x:v>Unavailable</x:v>
      </x:c>
      <x:c r="BR37" t="str">
        <x:v>Unknown</x:v>
      </x:c>
      <x:c r="BS37" t="str">
        <x:v>https://ojs.aaai.org/index.php/AAAI/article/download/34866/37021</x:v>
      </x:c>
      <x:c r="BT37" t="str">
        <x:v>No</x:v>
      </x:c>
      <x:c r="BU37" t="str">
        <x:v>No</x:v>
      </x:c>
      <x:c r="BV37" t="str">
        <x:v>No</x:v>
      </x:c>
      <x:c r="BW37" t="str">
        <x:v>No</x:v>
      </x:c>
      <x:c r="BX37" t="str">
        <x:v>No</x:v>
      </x:c>
      <x:c r="BY37" t="str">
        <x:v>No</x:v>
      </x:c>
      <x:c r="BZ37" t="str">
        <x:v>No</x:v>
      </x:c>
      <x:c r="CA37" t="str">
        <x:v>Matched</x:v>
      </x:c>
      <x:c r="CB37" t="str">
        <x:v>Not Found After Verification</x:v>
      </x:c>
      <x:c r="CC37" t="str">
        <x:v>Not Found After Verification</x:v>
      </x:c>
      <x:c r="CD37" t="str">
        <x:v>Audit logged - deep extraction pending</x:v>
      </x:c>
      <x:c r="CE37" t="str">
        <x:v>false</x:v>
      </x:c>
      <x:c r="CF37"/>
      <x:c r="CG37" t="str">
        <x:v>研究问题：策略执行后可能没有达到预测的场景状态，却仍继续下一步。；之前方法的问题：缺少可靠的执行结果检查会让局部误差在长任务中累积。；核心思路：利用 Gaussian Splatting 预测下一场景，将真实观测与预测比较，必要时回退并修正动作；与 PerACT 结合。；输入：官方摘要给出任务/数据类型；具体模型张量与接口需核对方法章节。；输出与动作：官方摘要未明确列出完整控制接口；需核对论文方法或代码。；数据集与评测基准：RLBench：10 项任务、166 种变化。；主要结果：AAAI 官方摘要报告在 RLBench 10 项任务、166 种变化上，平均成功率比所比较方法高 12.0 个百分点。；为什么重要：直接对应项目中的动作后验证与失败恢复。；与当前项目的关系：Medium：方法可借鉴，但迁移到当前双臂硬件需验证。；主要局限：本段基于官方摘要；未覆盖全文失败案例、完整 Baseline 与方法消融。</x:v>
      </x:c>
      <x:c r="CH37" t="str">
        <x:v>缺少可靠的执行结果检查会让局部误差在长任务中累积。</x:v>
      </x:c>
      <x:c r="CI37" t="str">
        <x:v>利用 Gaussian Splatting 预测下一场景，将真实观测与预测比较，必要时回退并修正动作；与 PerACT 结合。</x:v>
      </x:c>
      <x:c r="CJ37"/>
      <x:c r="CK37" t="str">
        <x:v>AAAI 官方摘要报告在 RLBench 10 项任务、166 种变化上，平均成功率比所比较方法高 12.0 个百分点。</x:v>
      </x:c>
      <x:c r="CL37" t="str">
        <x:v>直接对应项目中的动作后验证与失败恢复。</x:v>
      </x:c>
      <x:c r="CM37" t="str">
        <x:v>本段基于官方摘要；未覆盖全文失败案例、完整 Baseline 与方法消融。</x:v>
      </x:c>
      <x:c r="CN37"/>
      <x:c r="CO37" t="str">
        <x:v>Medium：方法可借鉴，但迁移到当前双臂硬件需验证。</x:v>
      </x:c>
      <x:c r="CP37" t="str">
        <x:v>官方摘要/论文页：https://ojs.aaai.org/index.php/AAAI/article/view/34866；核验于 2026-09-23。仅为摘要级速读，原 Evidence Quality 不变。 - 核验层级：摘要有可追溯来源</x:v>
      </x:c>
      <x:c r="CQ37" t="str">
        <x:v>final-pdf-author</x:v>
      </x:c>
      <x:c r="CR37" t="n">
        <x:v>0</x:v>
      </x:c>
      <x:c r="CS37" t="n">
        <x:v>0</x:v>
      </x:c>
    </x:row>
    <x:row r="38" ht="58" customHeight="1">
      <x:c r="A38" t="str">
        <x:v>A037</x:v>
      </x:c>
      <x:c r="B38" t="str">
        <x:v>GMAP: Generalized Manipulation of Articulated Objects in Robotic Using Pre-trained Model</x:v>
      </x:c>
      <x:c r="C38" t="str">
        <x:v>Unknown — not extracted in this pass</x:v>
      </x:c>
      <x:c r="D38" t="n">
        <x:v>2025</x:v>
      </x:c>
      <x:c r="E38" t="str">
        <x:v>AAAI</x:v>
      </x:c>
      <x:c r="F38" t="str">
        <x:v>A</x:v>
      </x:c>
      <x:c r="G38" t="str">
        <x:v>Official Conference Paper</x:v>
      </x:c>
      <x:c r="H38" t="str">
        <x:v>Method Paper</x:v>
      </x:c>
      <x:c r="I38" t="str">
        <x:v>Robot Manipulation; Generalization</x:v>
      </x:c>
      <x:c r="J38" t="str">
        <x:v>Articulated Object / Affordance</x:v>
      </x:c>
      <x:c r="K38" t="str">
        <x:v>Articulated Object / Affordance</x:v>
      </x:c>
      <x:c r="L38" t="e">
        <x:f>HYPERLINK("https://ojs.aaai.org/index.php/AAAI/article/view/33615","论文")</x:f>
        <x:v>HYPERLINK is not implemented. linkLocation=https://ojs.aaai.org/index.php/AAAI/article/view/33615, friendlyName=论文</x:v>
      </x:c>
      <x:c r="M38" t="str">
        <x:v>Unknown</x:v>
      </x:c>
      <x:c r="N38" t="str">
        <x:v>Unknown</x:v>
      </x:c>
      <x:c r="O38" t="str">
        <x:v>Unknown</x:v>
      </x:c>
      <x:c r="P38" t="str">
        <x:v>Unknown</x:v>
      </x:c>
      <x:c r="Q38" t="str">
        <x:v>Unknown</x:v>
      </x:c>
      <x:c r="R38" t="str">
        <x:v>Unknown</x:v>
      </x:c>
      <x:c r="S38" t="str">
        <x:v>Unknown</x:v>
      </x:c>
      <x:c r="T38" t="str">
        <x:v>Unknown</x:v>
      </x:c>
      <x:c r="U38" t="str">
        <x:v>Unknown</x:v>
      </x:c>
      <x:c r="V38" t="str">
        <x:v>Single Arm / Parallel Gripper</x:v>
      </x:c>
      <x:c r="W38" t="str">
        <x:v>Single Arm</x:v>
      </x:c>
      <x:c r="X38" t="str">
        <x:v>Parallel Gripper</x:v>
      </x:c>
      <x:c r="Y38" t="str">
        <x:v>Yes</x:v>
      </x:c>
      <x:c r="Z38" t="str">
        <x:v>Unknown</x:v>
      </x:c>
      <x:c r="AA38" t="str">
        <x:v>Unknown</x:v>
      </x:c>
      <x:c r="AB38" t="str">
        <x:v>Unknown</x:v>
      </x:c>
      <x:c r="AC38" t="str">
        <x:v>P1</x:v>
      </x:c>
      <x:c r="AD38" t="str">
        <x:v>Official proceedings verified; CCF A via user-provided CCF 7th-edition venue mapping</x:v>
      </x:c>
      <x:c r="AE38" t="str">
        <x:v>2026-09-19</x:v>
      </x:c>
      <x:c r="AF38" t="str">
        <x:v>Formal main-conference or official conference track record verified from the official proceedings page. Unchecked metadata remains Unknown.</x:v>
      </x:c>
      <x:c r="AG38" t="str">
        <x:v>CCF A Conference</x:v>
      </x:c>
      <x:c r="AH38" t="str">
        <x:v>Official Conference Paper</x:v>
      </x:c>
      <x:c r="AI38" t="str">
        <x:v>No</x:v>
      </x:c>
      <x:c r="AJ38" t="str">
        <x:v>02_Papers/07_Generalization_LongHorizon/GMAP.md</x:v>
      </x:c>
      <x:c r="AK38" t="str">
        <x:v>Strict CCF A</x:v>
      </x:c>
      <x:c r="AL38" t="str">
        <x:v>https://ojs.aaai.org/index.php/AAAI/article/view/33615; official abstract/proceedings metadata</x:v>
      </x:c>
      <x:c r="AM38" t="str">
        <x:v>Abstract-level</x:v>
      </x:c>
      <x:c r="AN38" t="str">
        <x:v>Articulated Object / Affordance</x:v>
      </x:c>
      <x:c r="AO38" t="str">
        <x:v>Pending official abstract/full-text verification.</x:v>
      </x:c>
      <x:c r="AP38" t="str">
        <x:v>Articulated Object / Affordance</x:v>
      </x:c>
      <x:c r="AQ38" t="str">
        <x:v>Real Robot=Yes; Dataset/Benchmark/Robot Platform retain Unknown when not verified.</x:v>
      </x:c>
      <x:c r="AR38" t="str">
        <x:v>** 与机器人操作、模仿学习或策略泛化相关；是否进入 L2/L3 取决于与双臂普通夹爪平台的可迁移性。</x:v>
      </x:c>
      <x:c r="AS38" t="str">
        <x:v>Project-stated CCF seventh-edition mapping; official row pending where noted</x:v>
      </x:c>
      <x:c r="AT38" t="str">
        <x:v>Generalization / Long-Horizon</x:v>
      </x:c>
      <x:c r="AU38" t="n">
        <x:v>0</x:v>
      </x:c>
      <x:c r="AV38" t="str">
        <x:v>OpenAlex</x:v>
      </x:c>
      <x:c r="AW38" t="str">
        <x:v>2026-09-25</x:v>
      </x:c>
      <x:c r="AX38" t="str">
        <x:v>关节物体操作需要同时识别可动部件、关节参数和可行的末端轨迹。</x:v>
      </x:c>
      <x:c r="AY38" t="str">
        <x:v>Unknown / Needs Full-Paper Verification</x:v>
      </x:c>
      <x:c r="AZ38" t="str">
        <x:v>以 `Articulated Object / Affordance` 为主要方法/能力线索；更细的结构和消融结论待正文核验。</x:v>
      </x:c>
      <x:c r="BA38" t="str">
        <x:v>关节物体操作任务；具体 benchmark 见论文。</x:v>
      </x:c>
      <x:c r="BB38" t="str">
        <x:v>Unknown / Needs Full-Paper Verification</x:v>
      </x:c>
      <x:c r="BC38" t="str">
        <x:v>- 官方题名与元数据已确认；具体表述待补读官方摘要或正文。</x:v>
      </x:c>
      <x:c r="BD38" t="str">
        <x:v>Real Robot 字段为 `Yes`；Dataset、Benchmark、Robot Platform 中的 Unknown 继续保留，不从题名推断。</x:v>
      </x:c>
      <x:c r="BE38" t="str">
        <x:v>AAAI 摘要报告在关节物体任务上优于对比方法；具体数值需核对论文表格。</x:v>
      </x:c>
      <x:c r="BF38" t="str">
        <x:v>Unknown / Needs Full-Paper Verification</x:v>
      </x:c>
      <x:c r="BG38" t="str">
        <x:v>Library Analysis / Research Note: Unknown / Needs Full-Paper Verification</x:v>
      </x:c>
      <x:c r="BH38" t="str">
        <x:v>Articulated Object / Affordance</x:v>
      </x:c>
      <x:c r="BI38" t="str">
        <x:v>B</x:v>
      </x:c>
      <x:c r="BJ38"/>
      <x:c r="BK38" t="str">
        <x:v>Unknown / Not Explicitly Reported in the currently accessible sources.</x:v>
      </x:c>
      <x:c r="BL38" t="str">
        <x:v>Unknown / Not Explicitly Reported in the currently accessible sources.</x:v>
      </x:c>
      <x:c r="BM38" t="str">
        <x:v>https://openalex.org/W4409364627</x:v>
      </x:c>
      <x:c r="BN38" t="str">
        <x:v>https://ojs.aaai.org/index.php/AAAI/article/view/33615；官方摘要/论文集元数据</x:v>
      </x:c>
      <x:c r="BO38" t="str">
        <x:v>B-Code-Unverified</x:v>
      </x:c>
      <x:c r="BP38" t="str">
        <x:v>Not Found</x:v>
      </x:c>
      <x:c r="BQ38" t="str">
        <x:v>Unavailable</x:v>
      </x:c>
      <x:c r="BR38" t="str">
        <x:v>Unknown</x:v>
      </x:c>
      <x:c r="BS38" t="str">
        <x:v>https://ojs.aaai.org/index.php/AAAI/article/download/33615/35770</x:v>
      </x:c>
      <x:c r="BT38" t="str">
        <x:v>No</x:v>
      </x:c>
      <x:c r="BU38" t="str">
        <x:v>No</x:v>
      </x:c>
      <x:c r="BV38" t="str">
        <x:v>No</x:v>
      </x:c>
      <x:c r="BW38" t="str">
        <x:v>No</x:v>
      </x:c>
      <x:c r="BX38" t="str">
        <x:v>No</x:v>
      </x:c>
      <x:c r="BY38" t="str">
        <x:v>No</x:v>
      </x:c>
      <x:c r="BZ38" t="str">
        <x:v>No</x:v>
      </x:c>
      <x:c r="CA38" t="str">
        <x:v>Matched</x:v>
      </x:c>
      <x:c r="CB38" t="str">
        <x:v>Not Found After Verification</x:v>
      </x:c>
      <x:c r="CC38" t="str">
        <x:v>Not Found After Verification</x:v>
      </x:c>
      <x:c r="CD38" t="str">
        <x:v>Audit logged - deep extraction pending</x:v>
      </x:c>
      <x:c r="CE38" t="str">
        <x:v>false</x:v>
      </x:c>
      <x:c r="CF38"/>
      <x:c r="CG38" t="str">
        <x:v>研究问题：关节物体操作需要同时识别可动部件、关节参数和可行的末端轨迹。；之前方法的问题：既有方法多只解决感知或 affordance 的一部分，缺少从指令到动作的完整链条。；核心思路：GMAP 结合部件分割、关节几何估计与可操作点预测，再规划末端位姿/轨迹。；输入：官方摘要给出任务/数据类型；具体模型张量与接口需核对方法章节。；输出与动作：官方摘要未明确列出完整控制接口；需核对论文方法或代码。；数据集与评测基准：关节物体操作任务；具体 benchmark 见论文。；主要结果：AAAI 摘要报告在关节物体任务上优于对比方法；具体数值需核对论文表格。；为什么重要：可为普通夹爪操作抽屉、柜门等任务提供几何约束参考。；与当前项目的关系：Medium：方法可借鉴，但迁移到当前双臂硬件需验证。；主要局限：本段基于官方摘要；未覆盖全文失败案例、完整 Baseline 与方法消融。</x:v>
      </x:c>
      <x:c r="CH38" t="str">
        <x:v>既有方法多只解决感知或 affordance 的一部分，缺少从指令到动作的完整链条。</x:v>
      </x:c>
      <x:c r="CI38" t="str">
        <x:v>GMAP 结合部件分割、关节几何估计与可操作点预测，再规划末端位姿/轨迹。</x:v>
      </x:c>
      <x:c r="CJ38"/>
      <x:c r="CK38" t="str">
        <x:v>AAAI 摘要报告在关节物体任务上优于对比方法；具体数值需核对论文表格。</x:v>
      </x:c>
      <x:c r="CL38" t="str">
        <x:v>可为普通夹爪操作抽屉、柜门等任务提供几何约束参考。</x:v>
      </x:c>
      <x:c r="CM38" t="str">
        <x:v>本段基于官方摘要；未覆盖全文失败案例、完整 Baseline 与方法消融。</x:v>
      </x:c>
      <x:c r="CN38"/>
      <x:c r="CO38" t="str">
        <x:v>Medium：方法可借鉴，但迁移到当前双臂硬件需验证。</x:v>
      </x:c>
      <x:c r="CP38" t="str">
        <x:v>官方摘要/论文页：https://ojs.aaai.org/index.php/AAAI/article/view/33615；核验于 2026-09-23。仅为摘要级速读，原 Evidence Quality 不变。 - 核验层级：摘要有可追溯来源</x:v>
      </x:c>
      <x:c r="CQ38" t="str">
        <x:v>title</x:v>
      </x:c>
      <x:c r="CR38" t="n">
        <x:v>0</x:v>
      </x:c>
      <x:c r="CS38" t="n">
        <x:v>0</x:v>
      </x:c>
    </x:row>
    <x:row r="39" ht="58" customHeight="1">
      <x:c r="A39" t="str">
        <x:v>A038</x:v>
      </x:c>
      <x:c r="B39" t="str">
        <x:v>Instruction-Augmented Long-Horizon Planning: Embedding Grounding Mechanisms in Embodied Mobile Manipulation</x:v>
      </x:c>
      <x:c r="C39" t="str">
        <x:v>Unknown — not extracted in this pass</x:v>
      </x:c>
      <x:c r="D39" t="n">
        <x:v>2025</x:v>
      </x:c>
      <x:c r="E39" t="str">
        <x:v>AAAI</x:v>
      </x:c>
      <x:c r="F39" t="str">
        <x:v>A</x:v>
      </x:c>
      <x:c r="G39" t="str">
        <x:v>Official Conference Paper</x:v>
      </x:c>
      <x:c r="H39" t="str">
        <x:v>Method Paper</x:v>
      </x:c>
      <x:c r="I39" t="str">
        <x:v>Robot Manipulation</x:v>
      </x:c>
      <x:c r="J39" t="str">
        <x:v>Long-Horizon / Mobile Manipulation</x:v>
      </x:c>
      <x:c r="K39" t="str">
        <x:v>Long-Horizon / Mobile Manipulation</x:v>
      </x:c>
      <x:c r="L39" t="e">
        <x:f>HYPERLINK("https://ojs.aaai.org/index.php/AAAI/article/view/33610","论文")</x:f>
        <x:v>HYPERLINK is not implemented. linkLocation=https://ojs.aaai.org/index.php/AAAI/article/view/33610, friendlyName=论文</x:v>
      </x:c>
      <x:c r="M39" t="str">
        <x:v>Unknown</x:v>
      </x:c>
      <x:c r="N39" t="str">
        <x:v>Unknown</x:v>
      </x:c>
      <x:c r="O39" t="str">
        <x:v>Unknown</x:v>
      </x:c>
      <x:c r="P39" t="str">
        <x:v>Unknown</x:v>
      </x:c>
      <x:c r="Q39" t="str">
        <x:v>Unknown</x:v>
      </x:c>
      <x:c r="R39" t="str">
        <x:v>Unknown</x:v>
      </x:c>
      <x:c r="S39" t="str">
        <x:v>Unknown</x:v>
      </x:c>
      <x:c r="T39" t="str">
        <x:v>Unknown</x:v>
      </x:c>
      <x:c r="U39" t="str">
        <x:v>Unknown</x:v>
      </x:c>
      <x:c r="V39" t="str">
        <x:v>Humanoid / Mobile Manipulator</x:v>
      </x:c>
      <x:c r="W39" t="str">
        <x:v>Unknown</x:v>
      </x:c>
      <x:c r="X39" t="str">
        <x:v>Unknown</x:v>
      </x:c>
      <x:c r="Y39" t="str">
        <x:v>Yes</x:v>
      </x:c>
      <x:c r="Z39" t="str">
        <x:v>Unknown</x:v>
      </x:c>
      <x:c r="AA39" t="str">
        <x:v>Unknown</x:v>
      </x:c>
      <x:c r="AB39" t="str">
        <x:v>Unknown</x:v>
      </x:c>
      <x:c r="AC39" t="str">
        <x:v>P1</x:v>
      </x:c>
      <x:c r="AD39" t="str">
        <x:v>Official proceedings verified; CCF A via user-provided CCF 7th-edition venue mapping</x:v>
      </x:c>
      <x:c r="AE39" t="str">
        <x:v>2026-09-19</x:v>
      </x:c>
      <x:c r="AF39" t="str">
        <x:v>Formal main-conference or official conference track record verified from the official proceedings page. Unchecked metadata remains Unknown.</x:v>
      </x:c>
      <x:c r="AG39" t="str">
        <x:v>CCF A Conference</x:v>
      </x:c>
      <x:c r="AH39" t="str">
        <x:v>Official Conference Paper</x:v>
      </x:c>
      <x:c r="AI39" t="str">
        <x:v>No</x:v>
      </x:c>
      <x:c r="AJ39" t="str">
        <x:v>02_Papers/07_Generalization_LongHorizon/Instruction-Augmented_Long-Horizon_Planning_Embedding_Grounding_Mechanisms_in_Embodied_Mob.md</x:v>
      </x:c>
      <x:c r="AK39" t="str">
        <x:v>Strict CCF A</x:v>
      </x:c>
      <x:c r="AL39" t="str">
        <x:v>https://ojs.aaai.org/index.php/AAAI/article/view/33610; official abstract/proceedings metadata</x:v>
      </x:c>
      <x:c r="AM39" t="str">
        <x:v>Abstract-level</x:v>
      </x:c>
      <x:c r="AN39" t="str">
        <x:v>Long-Horizon / Mobile Manipulation</x:v>
      </x:c>
      <x:c r="AO39" t="str">
        <x:v>Pending official abstract/full-text verification.</x:v>
      </x:c>
      <x:c r="AP39" t="str">
        <x:v>Long-Horizon / Mobile Manipulation</x:v>
      </x:c>
      <x:c r="AQ39" t="str">
        <x:v>Real Robot=Yes; Dataset/Benchmark/Robot Platform retain Unknown when not verified.</x:v>
      </x:c>
      <x:c r="AR39" t="str">
        <x:v>** 与机器人操作、模仿学习或策略泛化相关；是否进入 L2/L3 取决于与双臂普通夹爪平台的可迁移性。</x:v>
      </x:c>
      <x:c r="AS39" t="str">
        <x:v>Project-stated CCF seventh-edition mapping; official row pending where noted</x:v>
      </x:c>
      <x:c r="AT39" t="str">
        <x:v>Generalization / Long-Horizon</x:v>
      </x:c>
      <x:c r="AU39" t="n">
        <x:v>5</x:v>
      </x:c>
      <x:c r="AV39" t="str">
        <x:v>OpenAlex</x:v>
      </x:c>
      <x:c r="AW39" t="str">
        <x:v>2026-09-25</x:v>
      </x:c>
      <x:c r="AX39" t="str">
        <x:v>移动操作的长任务规划需要把语言计划落实到实时环境状态。</x:v>
      </x:c>
      <x:c r="AY39" t="str">
        <x:v>Unknown / Needs Full-Paper Verification</x:v>
      </x:c>
      <x:c r="AZ39" t="str">
        <x:v>以 `Long-Hori</x:v>
      </x:c>
      <x:c r="BA39" t="str">
        <x:v>多项真实环境长时序移动操作任务。</x:v>
      </x:c>
      <x:c r="BB39" t="str">
        <x:v>Unknown / Needs Full-Paper Verification</x:v>
      </x:c>
      <x:c r="BC39" t="str">
        <x:v>- 官方题名与元数据已确认；具体表述待补读官方摘要或正文。</x:v>
      </x:c>
      <x:c r="BD39" t="str">
        <x:v>Real Robot 字段为 `Yes`；Dataset、Benchmark、Robot Platform 中的 Unknown 继续保留，不从题名推断。</x:v>
      </x:c>
      <x:c r="BE39" t="str">
        <x:v>AAAI 官方摘要报告包含七类操作技能的真机长任务，平均成功率超过 80%。</x:v>
      </x:c>
      <x:c r="BF39" t="str">
        <x:v>Unknown / Needs Full-Paper Verification</x:v>
      </x:c>
      <x:c r="BG39" t="str">
        <x:v>Library Analysis / Research Note: Unknown / Needs Full-Paper Verification</x:v>
      </x:c>
      <x:c r="BH39" t="str">
        <x:v>Long-Horizon / Mobile Manipulation</x:v>
      </x:c>
      <x:c r="BI39" t="str">
        <x:v>B</x:v>
      </x:c>
      <x:c r="BJ39"/>
      <x:c r="BK39" t="str">
        <x:v>Unknown / Not Explicitly Reported in the currently accessible sources.</x:v>
      </x:c>
      <x:c r="BL39" t="str">
        <x:v>Unknown / Not Explicitly Reported in the currently accessible sources.</x:v>
      </x:c>
      <x:c r="BM39" t="str">
        <x:v>https://openalex.org/W4409364594</x:v>
      </x:c>
      <x:c r="BN39" t="str">
        <x:v>https://ojs.aaai.org/index.php/AAAI/article/view/33610；官方摘要/论文集元数据</x:v>
      </x:c>
      <x:c r="BO39" t="str">
        <x:v>B-Code-Unverified</x:v>
      </x:c>
      <x:c r="BP39" t="str">
        <x:v>Not Found</x:v>
      </x:c>
      <x:c r="BQ39" t="str">
        <x:v>Unavailable</x:v>
      </x:c>
      <x:c r="BR39" t="str">
        <x:v>Unknown</x:v>
      </x:c>
      <x:c r="BS39" t="str">
        <x:v>https://ojs.aaai.org/index.php/AAAI/article/download/33610/35765</x:v>
      </x:c>
      <x:c r="BT39" t="str">
        <x:v>No</x:v>
      </x:c>
      <x:c r="BU39" t="str">
        <x:v>No</x:v>
      </x:c>
      <x:c r="BV39" t="str">
        <x:v>No</x:v>
      </x:c>
      <x:c r="BW39" t="str">
        <x:v>No</x:v>
      </x:c>
      <x:c r="BX39" t="str">
        <x:v>No</x:v>
      </x:c>
      <x:c r="BY39" t="str">
        <x:v>No</x:v>
      </x:c>
      <x:c r="BZ39" t="str">
        <x:v>No</x:v>
      </x:c>
      <x:c r="CA39" t="str">
        <x:v>Matched</x:v>
      </x:c>
      <x:c r="CB39" t="str">
        <x:v>Not Found After Verification</x:v>
      </x:c>
      <x:c r="CC39" t="str">
        <x:v>Not Found After Verification</x:v>
      </x:c>
      <x:c r="CD39" t="str">
        <x:v>Audit logged - deep extraction pending</x:v>
      </x:c>
      <x:c r="CE39" t="str">
        <x:v>false</x:v>
      </x:c>
      <x:c r="CF39"/>
      <x:c r="CG39" t="str">
        <x:v>研究问题：移动操作的长任务规划需要把语言计划落实到实时环境状态。；之前方法的问题：只依赖人工文字场景描述或 prompt，难以判断物体是否真的可操作。；核心思路：IALP 把 LLM 推理、PDDL 问题与传感器反馈结合，闭环更新高层操作计划。；输入：官方摘要给出任务/数据类型；具体模型张量与接口需核对方法章节。；输出与动作：官方摘要未明确列出完整控制接口；需核对论文方法或代码。；数据集与评测基准：多项真实环境长时序移动操作任务。；主要结果：AAAI 官方摘要报告包含七类操作技能的真机长任务，平均成功率超过 80%。；为什么重要：可比较高层重新规划与双臂底层动作执行之间的接口。；与当前项目的关系：High：直接关联双臂普通夹爪、VLA 或真机操作。；主要局限：本段基于官方摘要；未覆盖全文失败案例、完整 Baseline 与方法消融。</x:v>
      </x:c>
      <x:c r="CH39" t="str">
        <x:v>只依赖人工文字场景描述或 prompt，难以判断物体是否真的可操作。</x:v>
      </x:c>
      <x:c r="CI39" t="str">
        <x:v>IALP 把 LLM 推理、PDDL 问题与传感器反馈结合，闭环更新高层操作计划。</x:v>
      </x:c>
      <x:c r="CJ39"/>
      <x:c r="CK39" t="str">
        <x:v>AAAI 官方摘要报告包含七类操作技能的真机长任务，平均成功率超过 80%。</x:v>
      </x:c>
      <x:c r="CL39" t="str">
        <x:v>可比较高层重新规划与双臂底层动作执行之间的接口。</x:v>
      </x:c>
      <x:c r="CM39" t="str">
        <x:v>本段基于官方摘要；未覆盖全文失败案例、完整 Baseline 与方法消融。</x:v>
      </x:c>
      <x:c r="CN39"/>
      <x:c r="CO39" t="str">
        <x:v>High：直接关联双臂普通夹爪、VLA 或真机操作。</x:v>
      </x:c>
      <x:c r="CP39" t="str">
        <x:v>官方摘要/论文页：https://ojs.aaai.org/index.php/AAAI/article/view/33610；核验于 2026-09-23。仅为摘要级速读，原 Evidence Quality 不变。 - 核验层级：摘要有可追溯来源</x:v>
      </x:c>
      <x:c r="CQ39" t="str">
        <x:v>final-pdf-author</x:v>
      </x:c>
      <x:c r="CR39" t="n">
        <x:v>0</x:v>
      </x:c>
      <x:c r="CS39" t="n">
        <x:v>0</x:v>
      </x:c>
    </x:row>
    <x:row r="40" ht="58" customHeight="1">
      <x:c r="A40" t="str">
        <x:v>A039</x:v>
      </x:c>
      <x:c r="B40" t="str">
        <x:v>VidMan: Exploiting Implicit Dynamics from Video Diffusion Model for Effective Robot Manipulation</x:v>
      </x:c>
      <x:c r="C40" t="str">
        <x:v>Wen, Youpeng; Lin, Junfan; Zhu, Yi; Han, Jianhua; Xu, Hang; Zhao, Shen; Liang, Xiaodan</x:v>
      </x:c>
      <x:c r="D40" t="n">
        <x:v>2024</x:v>
      </x:c>
      <x:c r="E40" t="str">
        <x:v>NeurIPS</x:v>
      </x:c>
      <x:c r="F40" t="str">
        <x:v>A</x:v>
      </x:c>
      <x:c r="G40" t="str">
        <x:v>Official Conference Paper</x:v>
      </x:c>
      <x:c r="H40" t="str">
        <x:v>Method Paper</x:v>
      </x:c>
      <x:c r="I40" t="str">
        <x:v>Robot Manipulation; VLA</x:v>
      </x:c>
      <x:c r="J40" t="str">
        <x:v>World Model / Video Diffusion</x:v>
      </x:c>
      <x:c r="K40" t="str">
        <x:v>World Model / Video Diffusion</x:v>
      </x:c>
      <x:c r="L40" t="e">
        <x:f>HYPERLINK("https://proceedings.neurips.cc/paper_files/paper/2024/hash/481c70828a4ff20d31a646cc6cc95f3d-Abstract-Conference.html","论文")</x:f>
        <x:v>HYPERLINK is not implemented. linkLocation=https://proceedings.neurips.cc/paper_files/paper/2024/hash/481c70828a4ff20d31a646cc6cc95f3d-Abstract-Conference.html, friendlyName=论文</x:v>
      </x:c>
      <x:c r="M40" t="e">
        <x:f>HYPERLINK("https://doi.org/10.52202/079017-1298","DOI")</x:f>
        <x:v>HYPERLINK is not implemented. linkLocation=https://doi.org/10.52202/079017-1298, friendlyName=DOI</x:v>
      </x:c>
      <x:c r="N40" t="str">
        <x:v>Unknown</x:v>
      </x:c>
      <x:c r="O40" t="str">
        <x:v>Unknown</x:v>
      </x:c>
      <x:c r="P40" t="str">
        <x:v>Unknown</x:v>
      </x:c>
      <x:c r="Q40" t="str">
        <x:v>Coming Soon</x:v>
      </x:c>
      <x:c r="R40" t="str">
        <x:v>Unknown</x:v>
      </x:c>
      <x:c r="S40" t="str">
        <x:v>Unknown</x:v>
      </x:c>
      <x:c r="T40" t="str">
        <x:v>Unknown</x:v>
      </x:c>
      <x:c r="U40" t="str">
        <x:v>Unknown</x:v>
      </x:c>
      <x:c r="V40" t="str">
        <x:v>Single Arm / Parallel Gripper</x:v>
      </x:c>
      <x:c r="W40" t="str">
        <x:v>Single Arm</x:v>
      </x:c>
      <x:c r="X40" t="str">
        <x:v>Parallel Gripper</x:v>
      </x:c>
      <x:c r="Y40" t="str">
        <x:v>Unknown</x:v>
      </x:c>
      <x:c r="Z40" t="str">
        <x:v>Unknown</x:v>
      </x:c>
      <x:c r="AA40" t="str">
        <x:v>Unknown</x:v>
      </x:c>
      <x:c r="AB40" t="str">
        <x:v>Unknown</x:v>
      </x:c>
      <x:c r="AC40" t="str">
        <x:v>P0</x:v>
      </x:c>
      <x:c r="AD40" t="str">
        <x:v>Official proceedings verified; CCF A via user-provided CCF 7th-edition venue mapping</x:v>
      </x:c>
      <x:c r="AE40" t="str">
        <x:v>2026-09-19</x:v>
      </x:c>
      <x:c r="AF40" t="str">
        <x:v>Formal main-conference or official conference track record verified from the official proceedings page. Unchecked metadata remains Unknown.</x:v>
      </x:c>
      <x:c r="AG40" t="str">
        <x:v>CCF A Conference</x:v>
      </x:c>
      <x:c r="AH40" t="str">
        <x:v>Official Conference Paper</x:v>
      </x:c>
      <x:c r="AI40" t="str">
        <x:v>No</x:v>
      </x:c>
      <x:c r="AJ40" t="str">
        <x:v>02_Papers/02_Robot_Manipulation/VidMan.md</x:v>
      </x:c>
      <x:c r="AK40" t="str">
        <x:v>Strict CCF A</x:v>
      </x:c>
      <x:c r="AL40" t="str">
        <x:v>https://proceedings.neurips.cc/paper_files/paper/2024/hash/481c70828a4ff20d31a646cc6cc95f3d-Abstract-Conference.html; official abstract/proceedings metadata</x:v>
      </x:c>
      <x:c r="AM40" t="str">
        <x:v>Abstract-level</x:v>
      </x:c>
      <x:c r="AN40" t="str">
        <x:v>World Model / Video Diffusion</x:v>
      </x:c>
      <x:c r="AO40" t="str">
        <x:v>See canonical card Research Summary; generated only from official abstract-level evidence.</x:v>
      </x:c>
      <x:c r="AP40" t="str">
        <x:v>World Model / Video Diffusion</x:v>
      </x:c>
      <x:c r="AQ40" t="str">
        <x:v>Real Robot=Unknown; Dataset/Benchmark/Robot Platform retain Unknown when not verified.</x:v>
      </x:c>
      <x:c r="AR40" t="str">
        <x:v>** 与机器人操作、模仿学习或策略泛化相关；是否进入 L2/L3 取决于与双臂普通夹爪平台的可迁移性。</x:v>
      </x:c>
      <x:c r="AS40" t="str">
        <x:v>Project-stated CCF seventh-edition mapping; official row pending where noted</x:v>
      </x:c>
      <x:c r="AT40" t="str">
        <x:v>Robot Manipulation</x:v>
      </x:c>
      <x:c r="AU40" t="n">
        <x:v>3</x:v>
      </x:c>
      <x:c r="AV40" t="str">
        <x:v>OpenAlex</x:v>
      </x:c>
      <x:c r="AW40" t="str">
        <x:v>2026-09-25</x:v>
      </x:c>
      <x:c r="AX40" t="str">
        <x:v>机器人需要利用视频数据理解物理动态并改进操作动作预测。</x:v>
      </x:c>
      <x:c r="AY40" t="str">
        <x:v>Unknown / Needs Full-Paper Verification</x:v>
      </x:c>
      <x:c r="AZ40" t="str">
        <x:v>以 `World Model / Video Diffusion` 为主要方法/能力线索；更细的结构和消融结论待正文核验。</x:v>
      </x:c>
      <x:c r="BA40" t="str">
        <x:v>CALVIN 与 OXE 小规模数据评测；具体任务和数据划分见论文。</x:v>
      </x:c>
      <x:c r="BB40" t="str">
        <x:v>Unknown / Needs Full-Paper Verification</x:v>
      </x:c>
      <x:c r="BC40" t="str">
        <x:v>- To this end, we propose \textbf{VidMan} (\textbf{Vid}eo Diffusion for Robot \textbf{Man}ipulation), a novel framework that employs a two-stage training mechanism inspired by dual-process theory from neuroscience to enhance stability and improve data utili</x:v>
      </x:c>
      <x:c r="BD40" t="str">
        <x:v>Real Robot 字段为 `Unknown`；Dataset、Benchmark、Robot Platform 中的 Unknown 继续保留，不从题名推断。</x:v>
      </x:c>
      <x:c r="BE40" t="str">
        <x:v>Unknown / Needs Full-Paper Verification</x:v>
      </x:c>
      <x:c r="BF40" t="str">
        <x:v>Unknown / Needs Full-Paper Verification</x:v>
      </x:c>
      <x:c r="BG40" t="str">
        <x:v>Library Analysis / Research Note: Unknown / Needs Full-Paper Verification</x:v>
      </x:c>
      <x:c r="BH40" t="str">
        <x:v>World Model / Video Diffusion</x:v>
      </x:c>
      <x:c r="BI40" t="str">
        <x:v>B</x:v>
      </x:c>
      <x:c r="BJ40"/>
      <x:c r="BK40" t="str">
        <x:v>Unknown / Not Explicitly Reported in the currently accessible sources.</x:v>
      </x:c>
      <x:c r="BL40" t="str">
        <x:v>Unknown / Not Explicitly Reported in the currently accessible sources.</x:v>
      </x:c>
      <x:c r="BM40" t="str">
        <x:v>https://openalex.org/W7103754590</x:v>
      </x:c>
      <x:c r="BN40" t="str">
        <x:v>https://proceedings.neurips.cc/paper_files/paper/2024/hash/481c70828a4ff20d31a646cc6cc95f3d-Abstract-Conference.html；官方摘要/论文集元数据</x:v>
      </x:c>
      <x:c r="BO40" t="str">
        <x:v>B-Code-Unverified</x:v>
      </x:c>
      <x:c r="BP40" t="str">
        <x:v>Not Found</x:v>
      </x:c>
      <x:c r="BQ40" t="str">
        <x:v>Unavailable</x:v>
      </x:c>
      <x:c r="BR40" t="str">
        <x:v>Unknown</x:v>
      </x:c>
      <x:c r="BS40" t="str">
        <x:v>https://proceedings.neurips.cc/paper_files/paper/2024/file/481c70828a4ff20d31a646cc6cc95f3d-Paper-Conference.pdf</x:v>
      </x:c>
      <x:c r="BT40" t="str">
        <x:v>No</x:v>
      </x:c>
      <x:c r="BU40" t="str">
        <x:v>No</x:v>
      </x:c>
      <x:c r="BV40" t="str">
        <x:v>No</x:v>
      </x:c>
      <x:c r="BW40" t="str">
        <x:v>No</x:v>
      </x:c>
      <x:c r="BX40" t="str">
        <x:v>No</x:v>
      </x:c>
      <x:c r="BY40" t="str">
        <x:v>No</x:v>
      </x:c>
      <x:c r="BZ40" t="str">
        <x:v>No</x:v>
      </x:c>
      <x:c r="CA40" t="str">
        <x:v>Matched</x:v>
      </x:c>
      <x:c r="CB40" t="str">
        <x:v>Not Found After Verification</x:v>
      </x:c>
      <x:c r="CC40" t="str">
        <x:v>Not Found After Verification</x:v>
      </x:c>
      <x:c r="CD40" t="str">
        <x:v>Audit logged - deep extraction pending</x:v>
      </x:c>
      <x:c r="CE40" t="str">
        <x:v>false</x:v>
      </x:c>
      <x:c r="CF40"/>
      <x:c r="CG40" t="str">
        <x:v>研究问题：机器人需要利用视频数据理解物理动态并改进操作动作预测。；之前方法的问题：单纯视频生成不保证生成的表示能直接帮助稳定的机器人控制。；核心思路：VidMan 使用两阶段训练，将视频扩散模型的动态表征引入机器人操作策略。；数据集与评测基准：CALVIN 与 OXE 小规模数据评测；具体任务和数据划分见论文。；为什么重要：为从视频世界模型到动作策略的连接提供对照方法。；与当前项目的关系：Medium：可帮助研究视觉预测是否改善双臂操作，但真机适配需验证。；主要局限：已核验摘要未完整报告失败类型与真机泛化边界。</x:v>
      </x:c>
      <x:c r="CH40" t="str">
        <x:v>单纯视频生成不保证生成的表示能直接帮助稳定的机器人控制。</x:v>
      </x:c>
      <x:c r="CI40" t="str">
        <x:v>VidMan 使用两阶段训练，将视频扩散模型的动态表征引入机器人操作策略。</x:v>
      </x:c>
      <x:c r="CJ40"/>
      <x:c r="CK40" t="str">
        <x:v>卡片记录相对 GR-1 在 CALVIN 上提升 11.7%，在 OXE 小规模数据上精度提升超过 9%。</x:v>
      </x:c>
      <x:c r="CL40" t="str">
        <x:v>为从视频世界模型到动作策略的连接提供对照方法。</x:v>
      </x:c>
      <x:c r="CM40" t="str">
        <x:v>已核验摘要未完整报告失败类型与真机泛化边界。</x:v>
      </x:c>
      <x:c r="CN40"/>
      <x:c r="CO40" t="str">
        <x:v>Medium：可帮助研究视觉预测是否改善双臂操作，但真机适配需验证。</x:v>
      </x:c>
      <x:c r="CP40" t="str">
        <x:v>官方摘要/论文页; https://arxiv.org/html/2411.09153; 核验于 2026-09-23. 仅为摘要级速读；原 Evidence Quality 不变。 - 核验层级：摘要有可追溯来源</x:v>
      </x:c>
      <x:c r="CQ40" t="str">
        <x:v>doi</x:v>
      </x:c>
      <x:c r="CR40" t="n">
        <x:v>4</x:v>
      </x:c>
      <x:c r="CS40" t="n">
        <x:v>4</x:v>
      </x:c>
    </x:row>
    <x:row r="41" ht="58" customHeight="1">
      <x:c r="A41" t="str">
        <x:v>A040</x:v>
      </x:c>
      <x:c r="B41" t="str">
        <x:v>VidBot: Learning Generalizable 3D Actions from In-the-Wild 2D Human Videos for Zero-Shot Robotic Manipulation</x:v>
      </x:c>
      <x:c r="C41" t="str">
        <x:v>Chen, Hanzhi; Sun, Boyang; Zhang, Anran; Pollefeys, Marc; Leutenegger, Stefan</x:v>
      </x:c>
      <x:c r="D41" t="n">
        <x:v>2025</x:v>
      </x:c>
      <x:c r="E41" t="str">
        <x:v>CVPR</x:v>
      </x:c>
      <x:c r="F41" t="str">
        <x:v>A</x:v>
      </x:c>
      <x:c r="G41" t="str">
        <x:v>Official Conference Paper</x:v>
      </x:c>
      <x:c r="H41" t="str">
        <x:v>Method Paper</x:v>
      </x:c>
      <x:c r="I41" t="str">
        <x:v>Robot Manipulation; Generalization</x:v>
      </x:c>
      <x:c r="J41" t="str">
        <x:v>Human Video / 3D Affordance</x:v>
      </x:c>
      <x:c r="K41" t="str">
        <x:v>Human Video / 3D Affordance</x:v>
      </x:c>
      <x:c r="L41" t="e">
        <x:f>HYPERLINK("https://openaccess.thecvf.com/content/CVPR2025/html/Chen_VidBot_Learning_Generalizable_3D_Actions_from_In-the-Wild_2D_Human_Videos_CVPR_2025_paper.html","论文")</x:f>
        <x:v>HYPERLINK is not implemented. linkLocation=https://openaccess.thecvf.com/content/CVPR2025/html/Chen_VidBot_Learning_Generalizable_3D_Actions_from_In-the-Wild_2D_Human_Videos_CVPR_2025_paper.html, friendlyName=论文</x:v>
      </x:c>
      <x:c r="M41" t="str">
        <x:v>Unknown</x:v>
      </x:c>
      <x:c r="N41" t="str">
        <x:v>Unknown</x:v>
      </x:c>
      <x:c r="O41" t="str">
        <x:v>Unknown</x:v>
      </x:c>
      <x:c r="P41" t="str">
        <x:v>Unknown</x:v>
      </x:c>
      <x:c r="Q41" t="str">
        <x:v>Unknown</x:v>
      </x:c>
      <x:c r="R41" t="str">
        <x:v>Unknown</x:v>
      </x:c>
      <x:c r="S41" t="str">
        <x:v>Unknown</x:v>
      </x:c>
      <x:c r="T41" t="str">
        <x:v>Unknown</x:v>
      </x:c>
      <x:c r="U41" t="str">
        <x:v>Unknown</x:v>
      </x:c>
      <x:c r="V41" t="str">
        <x:v>Single Arm / Parallel Gripper</x:v>
      </x:c>
      <x:c r="W41" t="str">
        <x:v>Single Arm</x:v>
      </x:c>
      <x:c r="X41" t="str">
        <x:v>Parallel Gripper</x:v>
      </x:c>
      <x:c r="Y41" t="str">
        <x:v>Unknown</x:v>
      </x:c>
      <x:c r="Z41" t="str">
        <x:v>Unknown</x:v>
      </x:c>
      <x:c r="AA41" t="str">
        <x:v>Unknown</x:v>
      </x:c>
      <x:c r="AB41" t="str">
        <x:v>Unknown</x:v>
      </x:c>
      <x:c r="AC41" t="str">
        <x:v>P0</x:v>
      </x:c>
      <x:c r="AD41" t="str">
        <x:v>Official proceedings verified; CCF A via user-provided CCF 7th-edition venue mapping</x:v>
      </x:c>
      <x:c r="AE41" t="str">
        <x:v>2026-09-19</x:v>
      </x:c>
      <x:c r="AF41" t="str">
        <x:v>Formal main-conference or official conference track record verified from the official proceedings page. Unchecked metadata remains Unknown.</x:v>
      </x:c>
      <x:c r="AG41" t="str">
        <x:v>CCF A Conference</x:v>
      </x:c>
      <x:c r="AH41" t="str">
        <x:v>Official Conference Paper</x:v>
      </x:c>
      <x:c r="AI41" t="str">
        <x:v>No</x:v>
      </x:c>
      <x:c r="AJ41" t="str">
        <x:v>02_Papers/07_Generalization_LongHorizon/VidBot.md</x:v>
      </x:c>
      <x:c r="AK41" t="str">
        <x:v>Strict CCF A</x:v>
      </x:c>
      <x:c r="AL41" t="str">
        <x:v>https://openaccess.thecvf.com/content/CVPR2025/html/Chen_VidBot_Learning_Generalizable_3D_Actions_from_In-the-Wild_2D_Human_Videos_CVPR_2025_paper.html; official abstract/proceedings metadata</x:v>
      </x:c>
      <x:c r="AM41" t="str">
        <x:v>Abstract-level</x:v>
      </x:c>
      <x:c r="AN41" t="str">
        <x:v>Human Video / 3D Affordance</x:v>
      </x:c>
      <x:c r="AO41" t="str">
        <x:v>See canonical card Research Summary; generated only from official abstract-level evidence.</x:v>
      </x:c>
      <x:c r="AP41" t="str">
        <x:v>Human Video / 3D Affordance</x:v>
      </x:c>
      <x:c r="AQ41" t="str">
        <x:v>Real Robot=Unknown; Dataset/Benchmark/Robot Platform retain Unknown when not verified.</x:v>
      </x:c>
      <x:c r="AR41" t="str">
        <x:v>** 与机器人操作、模仿学习或策略泛化相关；是否进入 L2/L3 取决于与双臂普通夹爪平台的可迁移性。</x:v>
      </x:c>
      <x:c r="AS41" t="str">
        <x:v>Project-stated CCF seventh-edition mapping; official row pending where noted</x:v>
      </x:c>
      <x:c r="AT41" t="str">
        <x:v>Generalization / Long-Horizon</x:v>
      </x:c>
      <x:c r="AU41" t="str">
        <x:v>—</x:v>
      </x:c>
      <x:c r="AV41" t="str">
        <x:v>未可靠匹配</x:v>
      </x:c>
      <x:c r="AW41" t="str">
        <x:v>2026-09-25</x:v>
      </x:c>
      <x:c r="AX41" t="str">
        <x:v>家庭机器人需要在不同物体和任务上迅速操作。</x:v>
      </x:c>
      <x:c r="AY41" t="str">
        <x:v>Unknown / Needs Full-Paper Verification</x:v>
      </x:c>
      <x:c r="AZ41" t="str">
        <x:v>以 `Human Video / 3D Affordance` 为主要方法/能力线索；更细的结构和消融结论待正文核验。</x:v>
      </x:c>
      <x:c r="BA41" t="str">
        <x:v>已核验摘要未明确说明；需查阅论文方法与实验章节。</x:v>
      </x:c>
      <x:c r="BB41" t="str">
        <x:v>Unknown / Needs Full-Paper Verification</x:v>
      </x:c>
      <x:c r="BC41" t="str">
        <x:v>- In this work, we present VidBot, a framework enabling</x:v>
      </x:c>
      <x:c r="BD41" t="str">
        <x:v>Real Robot 字段为 `Unknown`；Dataset、Benchmark、Robot Platform 中的 Unknown 继续保留，不从题名推断。</x:v>
      </x:c>
      <x:c r="BE41" t="str">
        <x:v>论文报告在 13 项操作任务上优于比较方法；具体指标见正文。</x:v>
      </x:c>
      <x:c r="BF41" t="str">
        <x:v>Unknown / Needs Full-Paper Verification</x:v>
      </x:c>
      <x:c r="BG41" t="str">
        <x:v>Library Analysis / Research Note: Unknown / Needs Full-Paper Verification</x:v>
      </x:c>
      <x:c r="BH41" t="str">
        <x:v>Human Video / 3D Affordance</x:v>
      </x:c>
      <x:c r="BI41" t="str">
        <x:v>B</x:v>
      </x:c>
      <x:c r="BJ41"/>
      <x:c r="BK41" t="str">
        <x:v>Unknown / Not Explicitly Reported in the currently accessible sources.</x:v>
      </x:c>
      <x:c r="BL41" t="str">
        <x:v>Unknown / Not Explicitly Reported in the currently accessible sources.</x:v>
      </x:c>
      <x:c r="BM41" t="str">
        <x:v>—</x:v>
      </x:c>
      <x:c r="BN41" t="str">
        <x:v>https://openaccess.thecvf.com/content/CVPR2025/html/Chen_VidBot_Learning_Generali</x:v>
      </x:c>
      <x:c r="BO41" t="str">
        <x:v>B-Code-Unverified</x:v>
      </x:c>
      <x:c r="BP41" t="str">
        <x:v>Not Found</x:v>
      </x:c>
      <x:c r="BQ41" t="str">
        <x:v>Unavailable</x:v>
      </x:c>
      <x:c r="BR41" t="str">
        <x:v>Unknown</x:v>
      </x:c>
      <x:c r="BS41" t="str">
        <x:v>https://openaccess.thecvf.com/content/CVPR2025/papers/Chen_VidBot_Learning_Generalizable_3D_Actions_from_In-the-Wild_2D_Human_Videos_CVPR_2025_paper.pdf</x:v>
      </x:c>
      <x:c r="BT41" t="str">
        <x:v>No</x:v>
      </x:c>
      <x:c r="BU41" t="str">
        <x:v>No</x:v>
      </x:c>
      <x:c r="BV41" t="str">
        <x:v>No</x:v>
      </x:c>
      <x:c r="BW41" t="str">
        <x:v>No</x:v>
      </x:c>
      <x:c r="BX41" t="str">
        <x:v>No</x:v>
      </x:c>
      <x:c r="BY41" t="str">
        <x:v>No</x:v>
      </x:c>
      <x:c r="BZ41" t="str">
        <x:v>No</x:v>
      </x:c>
      <x:c r="CA41" t="str">
        <x:v>Unresolved</x:v>
      </x:c>
      <x:c r="CB41" t="str">
        <x:v>Not Found After Verification</x:v>
      </x:c>
      <x:c r="CC41" t="str">
        <x:v>Not Found After Verification</x:v>
      </x:c>
      <x:c r="CD41" t="str">
        <x:v>Audit logged - deep extraction pending</x:v>
      </x:c>
      <x:c r="CE41" t="str">
        <x:v>false</x:v>
      </x:c>
      <x:c r="CF41"/>
      <x:c r="CG41" t="str">
        <x:v>研究问题：家庭机器人需要在不同物体和任务上迅速操作。；之前方法的问题：大量真机示范难以覆盖所有新场景。；核心思路：VidBot 从互联网视频学习三维 affordance，用于零样本机器人操作。；主要结果：论文报告在 13 项操作任务上优于比较方法；具体指标见正文。；为什么重要：探索网络视频到真机可执行区域的知识迁移。；与当前项目的关系：Medium：双臂夹爪可借鉴 affordance，但动作适配需验证。；主要局限：互联网视频中的三维尺度和真实机器人可达性可能不一致。</x:v>
      </x:c>
      <x:c r="CH41" t="str">
        <x:v>大量真机示范难以覆盖所有新场景。</x:v>
      </x:c>
      <x:c r="CI41" t="str">
        <x:v>VidBot 从互联网视频学习三维 affordance，用于零样本机器人操作。</x:v>
      </x:c>
      <x:c r="CJ41"/>
      <x:c r="CK41" t="str">
        <x:v>论文报告在 13 项操作任务上优于比较方法；具体指标见正文。</x:v>
      </x:c>
      <x:c r="CL41" t="str">
        <x:v>探索网络视频到真机可执行区域的知识迁移。</x:v>
      </x:c>
      <x:c r="CM41" t="str">
        <x:v>互联网视频中的三维尺度和真实机器人可达性可能不一致。</x:v>
      </x:c>
      <x:c r="CN41"/>
      <x:c r="CO41" t="str">
        <x:v>Medium：双臂夹爪可借鉴 affordance，但动作适配需验证。</x:v>
      </x:c>
      <x:c r="CP41" t="str">
        <x:v>官方摘要/论文页; https://openaccess.thecvf.com/content/CVPR2025/html/Chen_VidBot_Learning_Generalizable_3D_Actions_from_In-the-Wild_2D_Human_Videos_CVPR_2025_paper.html; 核验于 2026-09-23. 仅为摘要级速读；原 Evidence Quality 不变。 - 核验层级：摘要有可追溯来源</x:v>
      </x:c>
      <x:c r="CQ41" t="str">
        <x:v>Unresolved; no reliable citation service count</x:v>
      </x:c>
      <x:c r="CR41" t="n">
        <x:v>0</x:v>
      </x:c>
      <x:c r="CS41" t="n">
        <x:v>2</x:v>
      </x:c>
    </x:row>
    <x:row r="42" ht="58" customHeight="1">
      <x:c r="A42" t="str">
        <x:v>A041</x:v>
      </x:c>
      <x:c r="B42" t="str">
        <x:v>CoT-VLA: Visual Chain-of-Thought Reasoning for Vision-Language-Action Models</x:v>
      </x:c>
      <x:c r="C42" t="str">
        <x:v>Zhao, Qingqing; Lu, Yao; Kim, Moo Jin; Fu, Zipeng; Zhang, Zhuoyang; Wu, Yecheng; Li, Zhaoshuo; Ma, Qianli; Han, Song; Finn, Chelsea; Handa, Ankur; Lin, Tsung-Yi; Wetzstein, Gordon; Liu, Ming-Yu; Xiang, Donglai</x:v>
      </x:c>
      <x:c r="D42" t="n">
        <x:v>2025</x:v>
      </x:c>
      <x:c r="E42" t="str">
        <x:v>CVPR</x:v>
      </x:c>
      <x:c r="F42" t="str">
        <x:v>A</x:v>
      </x:c>
      <x:c r="G42" t="str">
        <x:v>Official Conference Paper</x:v>
      </x:c>
      <x:c r="H42" t="str">
        <x:v>Method Paper</x:v>
      </x:c>
      <x:c r="I42" t="str">
        <x:v>VLA; Robot Foundation Model</x:v>
      </x:c>
      <x:c r="J42" t="str">
        <x:v>Visual Chain-of-Thought</x:v>
      </x:c>
      <x:c r="K42" t="str">
        <x:v>Visual Chain-of-Thought</x:v>
      </x:c>
      <x:c r="L42" t="e">
        <x:f>HYPERLINK("https://openaccess.thecvf.com/content/CVPR2025/html/Zhao_CoT-VLA_Visual_Chain-of-Thought_Reasoning_for_Vision-Language-Action_Models_CVPR_2025_paper.html","论文")</x:f>
        <x:v>HYPERLINK is not implemented. linkLocation=https://openaccess.thecvf.com/content/CVPR2025/html/Zhao_CoT-VLA_Visual_Chain-of-Thought_Reasoning_for_Vision-Language-Action_Models_CVPR_2025_paper.html, friendlyName=论文</x:v>
      </x:c>
      <x:c r="M42" t="str">
        <x:v>Unknown</x:v>
      </x:c>
      <x:c r="N42" t="str">
        <x:v>Unknown</x:v>
      </x:c>
      <x:c r="O42" t="str">
        <x:v>Unknown</x:v>
      </x:c>
      <x:c r="P42" t="str">
        <x:v>Unknown</x:v>
      </x:c>
      <x:c r="Q42" t="str">
        <x:v>Unknown</x:v>
      </x:c>
      <x:c r="R42" t="str">
        <x:v>Unknown</x:v>
      </x:c>
      <x:c r="S42" t="str">
        <x:v>Unknown</x:v>
      </x:c>
      <x:c r="T42" t="str">
        <x:v>Unknown</x:v>
      </x:c>
      <x:c r="U42" t="str">
        <x:v>Unknown</x:v>
      </x:c>
      <x:c r="V42" t="str">
        <x:v>Single Arm / Parallel Gripper</x:v>
      </x:c>
      <x:c r="W42" t="str">
        <x:v>Single Arm</x:v>
      </x:c>
      <x:c r="X42" t="str">
        <x:v>Parallel Gripper</x:v>
      </x:c>
      <x:c r="Y42" t="str">
        <x:v>Yes</x:v>
      </x:c>
      <x:c r="Z42" t="str">
        <x:v>Unknown</x:v>
      </x:c>
      <x:c r="AA42" t="str">
        <x:v>Unknown</x:v>
      </x:c>
      <x:c r="AB42" t="str">
        <x:v>Unknown</x:v>
      </x:c>
      <x:c r="AC42" t="str">
        <x:v>P0</x:v>
      </x:c>
      <x:c r="AD42" t="str">
        <x:v>Official proceedings verified; CCF A via user-provided CCF 7th-edition venue mapping</x:v>
      </x:c>
      <x:c r="AE42" t="str">
        <x:v>2026-09-19</x:v>
      </x:c>
      <x:c r="AF42" t="str">
        <x:v>Formal main-conference or official conference track record verified from the official proceedings page. Unchecked metadata remains Unknown.</x:v>
      </x:c>
      <x:c r="AG42" t="str">
        <x:v>CCF A Conference</x:v>
      </x:c>
      <x:c r="AH42" t="str">
        <x:v>Official Conference Paper</x:v>
      </x:c>
      <x:c r="AI42" t="str">
        <x:v>No</x:v>
      </x:c>
      <x:c r="AJ42" t="str">
        <x:v>02_Papers/01_VLA/CoT-VLA.md</x:v>
      </x:c>
      <x:c r="AK42" t="str">
        <x:v>Strict CCF A</x:v>
      </x:c>
      <x:c r="AL42" t="str">
        <x:v>https://openaccess.thecvf.com/content/CVPR2025/html/Zhao_CoT-VLA_Visual_Chain-of-Thought_Reasoning_for_Vision-Language-Action_Models_CVPR_2025_paper.html; official abstract/proceedings metadata</x:v>
      </x:c>
      <x:c r="AM42" t="str">
        <x:v>Abstract-level</x:v>
      </x:c>
      <x:c r="AN42" t="str">
        <x:v>Visual Chain-of-Thought</x:v>
      </x:c>
      <x:c r="AO42" t="str">
        <x:v>See canonical card Research Summary; generated only from official abstract-level evidence.</x:v>
      </x:c>
      <x:c r="AP42" t="str">
        <x:v>Visual Chain-of-Thought</x:v>
      </x:c>
      <x:c r="AQ42" t="str">
        <x:v>Real Robot=Yes; Dataset/Benchmark/Robot Platform retain Unknown when not verified.</x:v>
      </x:c>
      <x:c r="AR42" t="str">
        <x:v>** 可用于 VLA/机器人基础模型路线对比；应重点核对动作头、训练数据与真机部署成本是否适合当前平台。</x:v>
      </x:c>
      <x:c r="AS42" t="str">
        <x:v>Project-stated CCF seventh-edition mapping; official row pending where noted</x:v>
      </x:c>
      <x:c r="AT42" t="str">
        <x:v>VLA</x:v>
      </x:c>
      <x:c r="AU42" t="n">
        <x:v>58</x:v>
      </x:c>
      <x:c r="AV42" t="str">
        <x:v>OpenAlex</x:v>
      </x:c>
      <x:c r="AW42" t="str">
        <x:v>2026-09-25</x:v>
      </x:c>
      <x:c r="AX42" t="str">
        <x:v>直接从视觉和语言映射动作的 VLA 缺少显式中间推理，复杂操作时容易失去目标感。</x:v>
      </x:c>
      <x:c r="AY42" t="str">
        <x:v>Unknown / Needs Full-Paper Verification</x:v>
      </x:c>
      <x:c r="AZ42" t="str">
        <x:v>以 `Visual Chain-of-Thought` 为主要方法/能力线索；更细的结构和消融结论待正文核验。</x:v>
      </x:c>
      <x:c r="BA42" t="str">
        <x:v>使用 Open X-Embodiment 示范及 EPIC-KITCHENS、Something-Something V2 视频；下游任务包括 BridgeData V2、Franka-Tabletop。</x:v>
      </x:c>
      <x:c r="BB42" t="str">
        <x:v>Unknown / Needs Full-Paper Verification</x:v>
      </x:c>
      <x:c r="BC42" t="str">
        <x:v>- In this paper, we introduce a method that incorporates explicit visual chain-of-thought (CoT) reasoning into vision-language-action models (VLAs) by predicting future image frames autoregressively as visual goals before generating a short action sequence to achieve these goals.</x:v>
      </x:c>
      <x:c r="BD42" t="str">
        <x:v>Real Robot 字段为 `Yes`；Dataset、Benchmark、Robot Platform 中的 Unknown 继续保留，不从题名推断。</x:v>
      </x:c>
      <x:c r="BE42" t="str">
        <x:v>Unknown / Needs Full-Paper Verification</x:v>
      </x:c>
      <x:c r="BF42" t="str">
        <x:v>Unknown / Needs Full-Paper Verification</x:v>
      </x:c>
      <x:c r="BG42" t="str">
        <x:v>Library Analysis / Research Note: Unknown / Needs Full-Paper Verification</x:v>
      </x:c>
      <x:c r="BH42" t="str">
        <x:v>Visual Chain-of-Thought</x:v>
      </x:c>
      <x:c r="BI42" t="str">
        <x:v>A</x:v>
      </x:c>
      <x:c r="BJ42"/>
      <x:c r="BK42" t="str">
        <x:v>Unknown / Not Explicitly Reported in the currently accessible sources.</x:v>
      </x:c>
      <x:c r="BL42" t="str">
        <x:v>Unknown / Not Explicitly Reported in the currently accessible sources.</x:v>
      </x:c>
      <x:c r="BM42" t="str">
        <x:v>https://openalex.org/W4413156213</x:v>
      </x:c>
      <x:c r="BN42" t="str">
        <x:v>https://openaccess.thecvf.com/content/CVPR2025/html/</x:v>
      </x:c>
      <x:c r="BO42" t="str">
        <x:v>A-Upgraded</x:v>
      </x:c>
      <x:c r="BP42" t="str">
        <x:v>Not Found</x:v>
      </x:c>
      <x:c r="BQ42" t="str">
        <x:v>Unavailable</x:v>
      </x:c>
      <x:c r="BR42" t="str">
        <x:v>Unknown</x:v>
      </x:c>
      <x:c r="BS42" t="str">
        <x:v>https://openaccess.thecvf.com/content/CVPR2025/papers/Zhao_CoT-VLA_Visual_Chain-of-Thought_Reasoning_for_Vision-Language-Action_Models_CVPR_2025_paper.pdf</x:v>
      </x:c>
      <x:c r="BT42" t="str">
        <x:v>No</x:v>
      </x:c>
      <x:c r="BU42" t="str">
        <x:v>No</x:v>
      </x:c>
      <x:c r="BV42" t="str">
        <x:v>No</x:v>
      </x:c>
      <x:c r="BW42" t="str">
        <x:v>No</x:v>
      </x:c>
      <x:c r="BX42" t="str">
        <x:v>No</x:v>
      </x:c>
      <x:c r="BY42" t="str">
        <x:v>No</x:v>
      </x:c>
      <x:c r="BZ42" t="str">
        <x:v>No</x:v>
      </x:c>
      <x:c r="CA42" t="str">
        <x:v>Matched</x:v>
      </x:c>
      <x:c r="CB42" t="str">
        <x:v>Not Found After Verification</x:v>
      </x:c>
      <x:c r="CC42" t="str">
        <x:v>Not Found After Verification</x:v>
      </x:c>
      <x:c r="CD42" t="str">
        <x:v>Audit logged - deep extraction pending</x:v>
      </x:c>
      <x:c r="CE42" t="str">
        <x:v>false</x:v>
      </x:c>
      <x:c r="CF42"/>
      <x:c r="CG42" t="str">
        <x:v>研究问题：直接从视觉和语言映射动作的 VLA 缺少显式中间推理，复杂操作时容易失去目标感。；之前方法的问题：直接输入到动作的映射没有显式中间目标，复杂操作缺少可检查的推理步骤。；核心思路：CoT-VLA 先自回归预测未来图像作为视觉子目标，再生成短动作序列，使中间视觉推理参与控制。；数据集与评测基准：使用 Open X-Embodiment 示范及 EPIC-KITCHENS、Something-Something V2 视频；下游任务包括 BridgeData V2、Franka-Tabletop。；为什么重要：可检验“先预测视觉目标再行动”是否改善长任务和双臂目标协调。；与当前项目的关系：High：有助于研究语言条件操作与 VLA 设计。；主要局限：依赖 7B VILA-U 和任务适配；推理/控制效率与更广的机器人本体仍需核验。</x:v>
      </x:c>
      <x:c r="CH42" t="str">
        <x:v>直接输入到动作的映射没有显式中间目标，复杂操作缺少可检查的推理步骤。</x:v>
      </x:c>
      <x:c r="CI42" t="str">
        <x:v>CoT-VLA 先自回归预测未来图像作为视觉子目标，再生成短动作序列，使中间视觉推理参与控制。</x:v>
      </x:c>
      <x:c r="CJ42"/>
      <x:c r="CK42" t="str">
        <x:v>卡片记录 LIBERO 平均成功率 81.13%，Long 子集为 69.0%；相对于所报告基线的提升和设置见 Table 1。</x:v>
      </x:c>
      <x:c r="CL42" t="str">
        <x:v>可检验“先预测视觉目标再行动”是否改善长任务和双臂目标协调。</x:v>
      </x:c>
      <x:c r="CM42" t="str">
        <x:v>依赖 7B VILA-U 和任务适配；推理/控制效率与更广的机器人本体仍需核验。</x:v>
      </x:c>
      <x:c r="CN42"/>
      <x:c r="CO42" t="str">
        <x:v>High：有助于研究语言条件操作与 VLA 设计。</x:v>
      </x:c>
      <x:c r="CP42" t="str">
        <x:v>官方摘要/论文页; https://openaccess.thecvf.com/content/CVPR2025/html/Zhao_CoT-VLA_Visual_Chain-of-Thought_Reasoning_for_Vision-Language-Action_Models_CVPR_2025_paper.html; 核验于 2026-09-23. 仅为摘要级速读；原 Evidence Quality 不变。 - 核验层级：摘要有可追溯来源</x:v>
      </x:c>
      <x:c r="CQ42" t="str">
        <x:v>title</x:v>
      </x:c>
      <x:c r="CR42" t="n">
        <x:v>5</x:v>
      </x:c>
      <x:c r="CS42" t="n">
        <x:v>6</x:v>
      </x:c>
    </x:row>
    <x:row r="43" ht="58" customHeight="1">
      <x:c r="A43" t="str">
        <x:v>A042</x:v>
      </x:c>
      <x:c r="B43" t="str">
        <x:v>Generalizable Domain Adaptation for Sim-and-Real Policy Co-Training</x:v>
      </x:c>
      <x:c r="C43" t="str">
        <x:v>Cheng, Shuo; Ma, Liqian; Chen, Zhenyang; Mandlekar, Ajay; Garrett, Caelan; Xu, Danfei</x:v>
      </x:c>
      <x:c r="D43" t="n">
        <x:v>2025</x:v>
      </x:c>
      <x:c r="E43" t="str">
        <x:v>NeurIPS</x:v>
      </x:c>
      <x:c r="F43" t="str">
        <x:v>A</x:v>
      </x:c>
      <x:c r="G43" t="str">
        <x:v>Official Conference Paper</x:v>
      </x:c>
      <x:c r="H43" t="str">
        <x:v>Method Paper</x:v>
      </x:c>
      <x:c r="I43" t="str">
        <x:v>Robot Manipulation; Generalization</x:v>
      </x:c>
      <x:c r="J43" t="str">
        <x:v>Sim-to-Real / Behavior Cloning</x:v>
      </x:c>
      <x:c r="K43" t="str">
        <x:v>Sim-to-Real / Behavior Cloning</x:v>
      </x:c>
      <x:c r="L43" t="e">
        <x:f>HYPERLINK("https://proceedings.neurips.cc/paper_files/paper/2025/hash/1185c89347a3f21ffc48c9d083c9437c-Abstract-Conference.html","论文")</x:f>
        <x:v>HYPERLINK is not implemented. linkLocation=https://proceedings.neurips.cc/paper_files/paper/2025/hash/1185c89347a3f21ffc48c9d083c9437c-Abstract-Conference.html, friendlyName=论文</x:v>
      </x:c>
      <x:c r="M43" t="e">
        <x:f>HYPERLINK("https://doi.org/10.52202/085713-0399","DOI")</x:f>
        <x:v>HYPERLINK is not implemented. linkLocation=https://doi.org/10.52202/085713-0399, friendlyName=DOI</x:v>
      </x:c>
      <x:c r="N43" t="str">
        <x:v>Unknown</x:v>
      </x:c>
      <x:c r="O43" t="str">
        <x:v>Unknown</x:v>
      </x:c>
      <x:c r="P43" t="str">
        <x:v>Unknown</x:v>
      </x:c>
      <x:c r="Q43" t="str">
        <x:v>Unknown</x:v>
      </x:c>
      <x:c r="R43" t="str">
        <x:v>Unknown</x:v>
      </x:c>
      <x:c r="S43" t="str">
        <x:v>Unknown</x:v>
      </x:c>
      <x:c r="T43" t="str">
        <x:v>Unknown</x:v>
      </x:c>
      <x:c r="U43" t="str">
        <x:v>Unknown</x:v>
      </x:c>
      <x:c r="V43" t="str">
        <x:v>Single Arm / Parallel Gripper</x:v>
      </x:c>
      <x:c r="W43" t="str">
        <x:v>Single Arm</x:v>
      </x:c>
      <x:c r="X43" t="str">
        <x:v>Parallel Gripper</x:v>
      </x:c>
      <x:c r="Y43" t="str">
        <x:v>Yes</x:v>
      </x:c>
      <x:c r="Z43" t="str">
        <x:v>Unknown</x:v>
      </x:c>
      <x:c r="AA43" t="str">
        <x:v>Unknown</x:v>
      </x:c>
      <x:c r="AB43" t="str">
        <x:v>Unknown</x:v>
      </x:c>
      <x:c r="AC43" t="str">
        <x:v>P0</x:v>
      </x:c>
      <x:c r="AD43" t="str">
        <x:v>Official proceedings verified; CCF A via user-provided CCF 7th-edition venue mapping</x:v>
      </x:c>
      <x:c r="AE43" t="str">
        <x:v>2026-09-19</x:v>
      </x:c>
      <x:c r="AF43" t="str">
        <x:v>Formal main-conference or official conference track record verified from the official proceedings page. Unchecked metadata remains Unknown.</x:v>
      </x:c>
      <x:c r="AG43" t="str">
        <x:v>CCF A Conference</x:v>
      </x:c>
      <x:c r="AH43" t="str">
        <x:v>Official Conference Paper</x:v>
      </x:c>
      <x:c r="AI43" t="str">
        <x:v>No</x:v>
      </x:c>
      <x:c r="AJ43" t="str">
        <x:v>02_Papers/05_Sim2Real/Generalizable_Domain_Adaptation_for_Sim-and-Real_Policy_Co-Training.md</x:v>
      </x:c>
      <x:c r="AK43" t="str">
        <x:v>Strict CCF A</x:v>
      </x:c>
      <x:c r="AL43" t="str">
        <x:v>https://proceedings.neurips.cc/paper_files/paper/2025/hash/1185c89347a3f21ffc48c9d083c9437c-Abstract-Conference.html; official abstract/proceedings metadata</x:v>
      </x:c>
      <x:c r="AM43" t="str">
        <x:v>Abstract-level</x:v>
      </x:c>
      <x:c r="AN43" t="str">
        <x:v>Sim-to-Real / Behavior Cloning</x:v>
      </x:c>
      <x:c r="AO43" t="str">
        <x:v>See canonical card Research Summary; generated only from official abstract-level evidence.</x:v>
      </x:c>
      <x:c r="AP43" t="str">
        <x:v>Sim-to-Real / Behavior Cloning</x:v>
      </x:c>
      <x:c r="AQ43" t="str">
        <x:v>Real Robot=Yes; Dataset/Benchmark/Robot Platform retain Unknown when not verified.</x:v>
      </x:c>
      <x:c r="AR43" t="str">
        <x:v>** 与机器人操作、模仿学习或策略泛化相关；是否进入 L2/L3 取决于与双臂普通夹爪平台的可迁移性。</x:v>
      </x:c>
      <x:c r="AS43" t="str">
        <x:v>Project-stated CCF seventh-edition mapping; official row pending where noted</x:v>
      </x:c>
      <x:c r="AT43" t="str">
        <x:v>Sim2Real</x:v>
      </x:c>
      <x:c r="AU43" t="n">
        <x:v>0</x:v>
      </x:c>
      <x:c r="AV43" t="str">
        <x:v>OpenAlex</x:v>
      </x:c>
      <x:c r="AW43" t="str">
        <x:v>2026-09-25</x:v>
      </x:c>
      <x:c r="AX43" t="str">
        <x:v>真机示范采集成本高，但只靠仿真训练又难泛化到现实。</x:v>
      </x:c>
      <x:c r="AY43" t="str">
        <x:v>Unknown / Needs Full-Paper Verification</x:v>
      </x:c>
      <x:c r="AZ43" t="str">
        <x:v>以 `Sim-to-Real / Behavior Cloning` 为主要方法/能力线索；更细的结构和消融结论待正文核验。</x:v>
      </x:c>
      <x:c r="BA43" t="str">
        <x:v>已核验摘要未明确说明；需查阅论文方法与实验章节。</x:v>
      </x:c>
      <x:c r="BB43" t="str">
        <x:v>Unknown / Needs Full-Paper Verification</x:v>
      </x:c>
      <x:c r="BC43" t="str">
        <x:v>- In this work, we propose a unified sim-and-real co-training framework for learning generali</x:v>
      </x:c>
      <x:c r="BD43" t="str">
        <x:v>Real Robot 字段为 `Yes`；Dataset、Benchmark、Robot Platform 中的 Unknown 继续保留，不从题名推断。</x:v>
      </x:c>
      <x:c r="BE43" t="str">
        <x:v>作者报告在挑战性真机任务上成功率最高提升约 30%；具体比较条件见正文。</x:v>
      </x:c>
      <x:c r="BF43" t="str">
        <x:v>Unknown / Needs Full-Paper Verification</x:v>
      </x:c>
      <x:c r="BG43" t="str">
        <x:v>Library Analysis / Research Note: Unknown / Needs Full-Paper Verification</x:v>
      </x:c>
      <x:c r="BH43" t="str">
        <x:v>Sim-to-Real / Behavior Cloning</x:v>
      </x:c>
      <x:c r="BI43" t="str">
        <x:v>B</x:v>
      </x:c>
      <x:c r="BJ43"/>
      <x:c r="BK43" t="str">
        <x:v>Unknown / Not Explicitly Reported in the currently accessible sources.</x:v>
      </x:c>
      <x:c r="BL43" t="str">
        <x:v>Unknown / Not Explicitly Reported in the currently accessible sources.</x:v>
      </x:c>
      <x:c r="BM43" t="str">
        <x:v>https://openalex.org/W4415251366</x:v>
      </x:c>
      <x:c r="BN43" t="str">
        <x:v>https://proceedings.neurips.cc/paper_files/paper/2025/hash/1185c89347a3f21ffc48c9d083c9437c-Abstract-Conference.html；官方摘要/论文集元数据</x:v>
      </x:c>
      <x:c r="BO43" t="str">
        <x:v>B-Code-Unverified</x:v>
      </x:c>
      <x:c r="BP43" t="str">
        <x:v>Not Found</x:v>
      </x:c>
      <x:c r="BQ43" t="str">
        <x:v>Unavailable</x:v>
      </x:c>
      <x:c r="BR43" t="str">
        <x:v>Unknown</x:v>
      </x:c>
      <x:c r="BS43" t="str">
        <x:v>https://proceedings.neurips.cc/paper_files/paper/2025/file/1185c89347a3f21ffc48c9d083c9437c-Paper-Conference.pdf</x:v>
      </x:c>
      <x:c r="BT43" t="str">
        <x:v>No</x:v>
      </x:c>
      <x:c r="BU43" t="str">
        <x:v>No</x:v>
      </x:c>
      <x:c r="BV43" t="str">
        <x:v>No</x:v>
      </x:c>
      <x:c r="BW43" t="str">
        <x:v>No</x:v>
      </x:c>
      <x:c r="BX43" t="str">
        <x:v>No</x:v>
      </x:c>
      <x:c r="BY43" t="str">
        <x:v>No</x:v>
      </x:c>
      <x:c r="BZ43" t="str">
        <x:v>No</x:v>
      </x:c>
      <x:c r="CA43" t="str">
        <x:v>Matched</x:v>
      </x:c>
      <x:c r="CB43" t="str">
        <x:v>Not Found After Verification</x:v>
      </x:c>
      <x:c r="CC43" t="str">
        <x:v>Not Found After Verification</x:v>
      </x:c>
      <x:c r="CD43" t="str">
        <x:v>Audit logged - deep extraction pending</x:v>
      </x:c>
      <x:c r="CE43" t="str">
        <x:v>false</x:v>
      </x:c>
      <x:c r="CF43"/>
      <x:c r="CG43" t="str">
        <x:v>研究问题：真机示范采集成本高，但只靠仿真训练又难泛化到现实。；之前方法的问题：仿真与真实数据分布不同，简单混合训练可能利用不好少量真机样本。；核心思路：联合训练仿真和少量真实机器人数据，并做域适配，学习更可迁移的操作策略。；主要结果：作者报告在挑战性真机任务上成功率最高提升约 30%；具体比较条件见正文。；为什么重要：帮助设计合成数据与真实示范的使用比例。；与当前项目的关系：High：项目需要以有限真机数据训练双臂策略。；主要局限：不同机器人与任务的 Sim2Real 差异需独立测量。</x:v>
      </x:c>
      <x:c r="CH43" t="str">
        <x:v>仿真与真实数据分布不同，简单混合训练可能利用不好少量真机样本。</x:v>
      </x:c>
      <x:c r="CI43" t="str">
        <x:v>联合训练仿真和少量真实机器人数据，并做域适配，学习更可迁移的操作策略。</x:v>
      </x:c>
      <x:c r="CJ43"/>
      <x:c r="CK43" t="str">
        <x:v>作者报告在挑战性真机任务上成功率最高提升约 30%；具体比较条件见正文。</x:v>
      </x:c>
      <x:c r="CL43" t="str">
        <x:v>帮助设计合成数据与真实示范的使用比例。</x:v>
      </x:c>
      <x:c r="CM43" t="str">
        <x:v>不同机器人与任务的 Sim2Real 差异需独立测量。</x:v>
      </x:c>
      <x:c r="CN43"/>
      <x:c r="CO43" t="str">
        <x:v>High：项目需要以有限真机数据训练双臂策略。</x:v>
      </x:c>
      <x:c r="CP43" t="str">
        <x:v>官方摘要/论文页; https://proceedings.neurips.cc/paper_files/paper/2025/hash/1185c89347a3f21ffc48c9d083c9437c-Abstract-Conference.html; 核验于 2026-09-23. 仅为摘要级速读；原 Evidence Quality 不变。 - 核验层级：摘要有可追溯来源</x:v>
      </x:c>
      <x:c r="CQ43" t="str">
        <x:v>doi</x:v>
      </x:c>
      <x:c r="CR43" t="n">
        <x:v>0</x:v>
      </x:c>
      <x:c r="CS43" t="n">
        <x:v>1</x:v>
      </x:c>
    </x:row>
    <x:row r="44" ht="58" customHeight="1">
      <x:c r="A44" t="str">
        <x:v>A043</x:v>
      </x:c>
      <x:c r="B44" t="str">
        <x:v>Enhancing LLM Planning for Robotics Manipulation through Hierarchical Procedural Knowledge Graphs</x:v>
      </x:c>
      <x:c r="C44" t="str">
        <x:v>Zhou, Jiacong; Miao, Jiaxu; wang, xianyun; Yu, Jun</x:v>
      </x:c>
      <x:c r="D44" t="n">
        <x:v>2025</x:v>
      </x:c>
      <x:c r="E44" t="str">
        <x:v>NeurIPS</x:v>
      </x:c>
      <x:c r="F44" t="str">
        <x:v>A</x:v>
      </x:c>
      <x:c r="G44" t="str">
        <x:v>Official Conference Paper</x:v>
      </x:c>
      <x:c r="H44" t="str">
        <x:v>Method Paper</x:v>
      </x:c>
      <x:c r="I44" t="str">
        <x:v>Robot Manipulation</x:v>
      </x:c>
      <x:c r="J44" t="str">
        <x:v>Long-Horizon / Planning</x:v>
      </x:c>
      <x:c r="K44" t="str">
        <x:v>Long-Horizon / Planning</x:v>
      </x:c>
      <x:c r="L44" t="e">
        <x:f>HYPERLINK("https://proceedings.neurips.cc/paper_files/paper/2025/hash/b94310e1c7ecb79f1a24adc757f1b89b-Abstract-Conference.html","论文")</x:f>
        <x:v>HYPERLINK is not implemented. linkLocation=https://proceedings.neurips.cc/paper_files/paper/2025/hash/b94310e1c7ecb79f1a24adc757f1b89b-Abstract-Conference.html, friendlyName=论文</x:v>
      </x:c>
      <x:c r="M44" t="e">
        <x:f>HYPERLINK("https://doi.org/10.52202/085713-4246","DOI")</x:f>
        <x:v>HYPERLINK is not implemented. linkLocation=https://doi.org/10.52202/085713-4246, friendlyName=DOI</x:v>
      </x:c>
      <x:c r="N44" t="str">
        <x:v>Unknown</x:v>
      </x:c>
      <x:c r="O44" t="str">
        <x:v>Unknown</x:v>
      </x:c>
      <x:c r="P44" t="str">
        <x:v>Unknown</x:v>
      </x:c>
      <x:c r="Q44" t="str">
        <x:v>Unknown</x:v>
      </x:c>
      <x:c r="R44" t="str">
        <x:v>Unknown</x:v>
      </x:c>
      <x:c r="S44" t="str">
        <x:v>Unknown</x:v>
      </x:c>
      <x:c r="T44" t="str">
        <x:v>Unknown</x:v>
      </x:c>
      <x:c r="U44" t="str">
        <x:v>Unknown</x:v>
      </x:c>
      <x:c r="V44" t="str">
        <x:v>Unknown</x:v>
      </x:c>
      <x:c r="W44" t="str">
        <x:v>Unknown</x:v>
      </x:c>
      <x:c r="X44" t="str">
        <x:v>Unknown</x:v>
      </x:c>
      <x:c r="Y44" t="str">
        <x:v>Unknown</x:v>
      </x:c>
      <x:c r="Z44" t="str">
        <x:v>Unknown</x:v>
      </x:c>
      <x:c r="AA44" t="str">
        <x:v>Unknown</x:v>
      </x:c>
      <x:c r="AB44" t="str">
        <x:v>Unknown</x:v>
      </x:c>
      <x:c r="AC44" t="str">
        <x:v>P1</x:v>
      </x:c>
      <x:c r="AD44" t="str">
        <x:v>Official proceedings verified; CCF A via user-provided CCF 7th-edition venue mapping</x:v>
      </x:c>
      <x:c r="AE44" t="str">
        <x:v>2026-09-19</x:v>
      </x:c>
      <x:c r="AF44" t="str">
        <x:v>Formal main-conference or official conference track record verified from the official proceedings page. Unchecked metadata remains Unknown.</x:v>
      </x:c>
      <x:c r="AG44" t="str">
        <x:v>CCF A Conference</x:v>
      </x:c>
      <x:c r="AH44" t="str">
        <x:v>Official Conference Paper</x:v>
      </x:c>
      <x:c r="AI44" t="str">
        <x:v>No</x:v>
      </x:c>
      <x:c r="AJ44" t="str">
        <x:v>02_Papers/07_Generalization_LongHorizon/Enhancing_LLM_Planning_for_Robotics_Manipulation_through_Hierarchical_Procedural_Knowledge.md</x:v>
      </x:c>
      <x:c r="AK44" t="str">
        <x:v>Strict CCF A</x:v>
      </x:c>
      <x:c r="AL44" t="str">
        <x:v>https://proceedings.neurips.cc/paper_files/paper/2025/hash/b94310e1c7ecb79f1a24adc757f1b89b-Abstract-Conference.html; official abstract/proceedings metadata</x:v>
      </x:c>
      <x:c r="AM44" t="str">
        <x:v>Abstract-level</x:v>
      </x:c>
      <x:c r="AN44" t="str">
        <x:v>Long-Horizon / Planning</x:v>
      </x:c>
      <x:c r="AO44" t="str">
        <x:v>See canonical card Research Summary; generated only from official abstract-level evidence.</x:v>
      </x:c>
      <x:c r="AP44" t="str">
        <x:v>Long-Horizon / Planning</x:v>
      </x:c>
      <x:c r="AQ44" t="str">
        <x:v>Real Robot=Unknown; Dataset/Benchmark/Robot Platform retain Unknown when not verified.</x:v>
      </x:c>
      <x:c r="AR44" t="str">
        <x:v>** 与机器人操作、模仿学习或策略泛化相关；是否进入 L2/L3 取决于与双臂普通夹爪平台的可迁移性。</x:v>
      </x:c>
      <x:c r="AS44" t="str">
        <x:v>Project-stated CCF seventh-edition mapping; official row pending where noted</x:v>
      </x:c>
      <x:c r="AT44" t="str">
        <x:v>Generalization / Long-Horizon</x:v>
      </x:c>
      <x:c r="AU44" t="n">
        <x:v>0</x:v>
      </x:c>
      <x:c r="AV44" t="str">
        <x:v>OpenAlex</x:v>
      </x:c>
      <x:c r="AW44" t="str">
        <x:v>2026-09-25</x:v>
      </x:c>
      <x:c r="AX44" t="str">
        <x:v>LLM 能生成操作计划，但可能缺少任务执行所需的具体程序知识。</x:v>
      </x:c>
      <x:c r="AY44" t="str">
        <x:v>Unknown / Needs Full-Paper Verification</x:v>
      </x:c>
      <x:c r="AZ44" t="str">
        <x:v>以 `Long-Hori</x:v>
      </x:c>
      <x:c r="BA44" t="str">
        <x:v>已核验摘要未明确说明；需查阅论文方法与实验章节。</x:v>
      </x:c>
      <x:c r="BB44" t="str">
        <x:v>Unknown / Needs Full-Paper Verification</x:v>
      </x:c>
      <x:c r="BC44" t="str">
        <x:v>- To address the above problems, we propose Hierarchical Procedural Knowledge Graphs (\textbf{HP-KG}) to enhance LLMs for complex robotic planning while significantly reducing the demand for LLM scale in robotic manipulation.</x:v>
      </x:c>
      <x:c r="BD44" t="str">
        <x:v>Real Robot 字段为 `Unknown`；Dataset、Benchmark、Robot Platform 中的 Unknown 继续保留，不从题名推断。</x:v>
      </x:c>
      <x:c r="BE44" t="str">
        <x:v>作者报告增强后的 7B LLM 规划能力明显改善；具体数值需核对论文。</x:v>
      </x:c>
      <x:c r="BF44" t="str">
        <x:v>Unknown / Needs Full-Paper Verification</x:v>
      </x:c>
      <x:c r="BG44" t="str">
        <x:v>Library Analysis / Research Note: Unknown / Needs Full-Paper Verification</x:v>
      </x:c>
      <x:c r="BH44" t="str">
        <x:v>Long-Horizon / Planning</x:v>
      </x:c>
      <x:c r="BI44" t="str">
        <x:v>B</x:v>
      </x:c>
      <x:c r="BJ44"/>
      <x:c r="BK44" t="str">
        <x:v>Unknown / Not Explicitly Reported in the currently accessible sources.</x:v>
      </x:c>
      <x:c r="BL44" t="str">
        <x:v>Unknown / Not Explicitly Reported in the currently accessible sources.</x:v>
      </x:c>
      <x:c r="BM44" t="str">
        <x:v>https://openalex.org/W7196926233</x:v>
      </x:c>
      <x:c r="BN44" t="str">
        <x:v>https://proceedings.neurips.cc/paper_files/paper/2025/hash/b94310e1c7ecb79f1a24adc757f1b89b-Abstract-Conference.html；官方摘要/论文集元数据</x:v>
      </x:c>
      <x:c r="BO44" t="str">
        <x:v>B-Code-Unverified</x:v>
      </x:c>
      <x:c r="BP44" t="str">
        <x:v>Not Found</x:v>
      </x:c>
      <x:c r="BQ44" t="str">
        <x:v>Unavailable</x:v>
      </x:c>
      <x:c r="BR44" t="str">
        <x:v>Unknown</x:v>
      </x:c>
      <x:c r="BS44" t="str">
        <x:v>https://proceedings.neurips.cc/paper_files/paper/2025/file/b94310e1c7ecb79f1a24adc757f1b89b-Paper-Conference.pdf</x:v>
      </x:c>
      <x:c r="BT44" t="str">
        <x:v>No</x:v>
      </x:c>
      <x:c r="BU44" t="str">
        <x:v>No</x:v>
      </x:c>
      <x:c r="BV44" t="str">
        <x:v>No</x:v>
      </x:c>
      <x:c r="BW44" t="str">
        <x:v>No</x:v>
      </x:c>
      <x:c r="BX44" t="str">
        <x:v>No</x:v>
      </x:c>
      <x:c r="BY44" t="str">
        <x:v>No</x:v>
      </x:c>
      <x:c r="BZ44" t="str">
        <x:v>No</x:v>
      </x:c>
      <x:c r="CA44" t="str">
        <x:v>Matched</x:v>
      </x:c>
      <x:c r="CB44" t="str">
        <x:v>Not Found After Verification</x:v>
      </x:c>
      <x:c r="CC44" t="str">
        <x:v>Not Found After Verification</x:v>
      </x:c>
      <x:c r="CD44" t="str">
        <x:v>Audit logged - deep extraction pending</x:v>
      </x:c>
      <x:c r="CE44" t="str">
        <x:v>false</x:v>
      </x:c>
      <x:c r="CF44"/>
      <x:c r="CG44" t="str">
        <x:v>研究问题：LLM 能生成操作计划，但可能缺少任务执行所需的具体程序知识。；之前方法的问题：只靠 prompt 难以稳定选择正确技能和步骤。；核心思路：用 Hierarchical Procedural Knowledge Graph（HP-KG）为 LLM 提供分层操作过程知识。；主要结果：作者报告增强后的 7B LLM 规划能力明显改善；具体数值需核对论文。；为什么重要：提供比单纯增大语言模型更可控的规划知识表示。；与当前项目的关系：Medium：可用于未来双臂高层任务规划。；主要局限：计划正确不保证夹爪动作可执行；需真机验证。</x:v>
      </x:c>
      <x:c r="CH44" t="str">
        <x:v>只靠 prompt 难以稳定选择正确技能和步骤。</x:v>
      </x:c>
      <x:c r="CI44" t="str">
        <x:v>用 Hierarchical Procedural Knowledge Graph（HP-KG）为 LLM 提供分层操作过程知识。</x:v>
      </x:c>
      <x:c r="CJ44"/>
      <x:c r="CK44" t="str">
        <x:v>作者报告增强后的 7B LLM 规划能力明显改善；具体数值需核对论文。</x:v>
      </x:c>
      <x:c r="CL44" t="str">
        <x:v>提供比单纯增大语言模型更可控的规划知识表示。</x:v>
      </x:c>
      <x:c r="CM44" t="str">
        <x:v>计划正确不保证夹爪动作可执行；需真机验证。</x:v>
      </x:c>
      <x:c r="CN44"/>
      <x:c r="CO44" t="str">
        <x:v>Medium：可用于未来双臂高层任务规划。</x:v>
      </x:c>
      <x:c r="CP44" t="str">
        <x:v>官方摘要/论文页; https://proceedings.neurips.cc/paper_files/paper/2025/hash/b94310e1c7ecb79f1a24adc757f1b89b-Abstract-Conference.html; 核验于 2026-09-23. 仅为摘要级速读；原 Evidence Quality 不变。 - 核验层级：摘要有可追溯来源</x:v>
      </x:c>
      <x:c r="CQ44" t="str">
        <x:v>doi</x:v>
      </x:c>
      <x:c r="CR44" t="n">
        <x:v>0</x:v>
      </x:c>
      <x:c r="CS44" t="n">
        <x:v>0</x:v>
      </x:c>
    </x:row>
    <x:row r="45" ht="58" customHeight="1">
      <x:c r="A45" t="str">
        <x:v>A044</x:v>
      </x:c>
      <x:c r="B45" t="str">
        <x:v>Dynamic Test-Time Compute Scaling in Control Policy: Difficulty-Aware Stochastic Interpolant Policy</x:v>
      </x:c>
      <x:c r="C45" t="str">
        <x:v>Chun, Inkook; Lee, Seungjae; Albergo, Michael; Xie, Saining; Vanden-Eijnden, Eric</x:v>
      </x:c>
      <x:c r="D45" t="n">
        <x:v>2025</x:v>
      </x:c>
      <x:c r="E45" t="str">
        <x:v>NeurIPS</x:v>
      </x:c>
      <x:c r="F45" t="str">
        <x:v>A</x:v>
      </x:c>
      <x:c r="G45" t="str">
        <x:v>Official Conference Paper</x:v>
      </x:c>
      <x:c r="H45" t="str">
        <x:v>Method Paper</x:v>
      </x:c>
      <x:c r="I45" t="str">
        <x:v>Diffusion / Flow; Robot Manipulation</x:v>
      </x:c>
      <x:c r="J45" t="str">
        <x:v>Stochastic Interpolant / Efficiency</x:v>
      </x:c>
      <x:c r="K45" t="str">
        <x:v>Stochastic Interpolant / Efficiency</x:v>
      </x:c>
      <x:c r="L45" t="e">
        <x:f>HYPERLINK("https://proceedings.neurips.cc/paper_files/paper/2025/hash/49eadcc4a329fc6b74b9f8a82b78cbc3-Abstract-Conference.html","论文")</x:f>
        <x:v>HYPERLINK is not implemented. linkLocation=https://proceedings.neurips.cc/paper_files/paper/2025/hash/49eadcc4a329fc6b74b9f8a82b78cbc3-Abstract-Conference.html, friendlyName=论文</x:v>
      </x:c>
      <x:c r="M45" t="e">
        <x:f>HYPERLINK("https://doi.org/10.52202/085713-1714","DOI")</x:f>
        <x:v>HYPERLINK is not implemented. linkLocation=https://doi.org/10.52202/085713-1714, friendlyName=DOI</x:v>
      </x:c>
      <x:c r="N45" t="str">
        <x:v>Unknown</x:v>
      </x:c>
      <x:c r="O45" t="str">
        <x:v>Unknown</x:v>
      </x:c>
      <x:c r="P45" t="str">
        <x:v>Unknown</x:v>
      </x:c>
      <x:c r="Q45" t="str">
        <x:v>Unknown</x:v>
      </x:c>
      <x:c r="R45" t="str">
        <x:v>Unknown</x:v>
      </x:c>
      <x:c r="S45" t="str">
        <x:v>Unknown</x:v>
      </x:c>
      <x:c r="T45" t="str">
        <x:v>Unknown</x:v>
      </x:c>
      <x:c r="U45" t="str">
        <x:v>Unknown</x:v>
      </x:c>
      <x:c r="V45" t="str">
        <x:v>Simulation Only</x:v>
      </x:c>
      <x:c r="W45" t="str">
        <x:v>Unknown</x:v>
      </x:c>
      <x:c r="X45" t="str">
        <x:v>Unknown</x:v>
      </x:c>
      <x:c r="Y45" t="str">
        <x:v>No</x:v>
      </x:c>
      <x:c r="Z45" t="str">
        <x:v>Unknown</x:v>
      </x:c>
      <x:c r="AA45" t="str">
        <x:v>Unknown</x:v>
      </x:c>
      <x:c r="AB45" t="str">
        <x:v>Simulation Only</x:v>
      </x:c>
      <x:c r="AC45" t="str">
        <x:v>P1</x:v>
      </x:c>
      <x:c r="AD45" t="str">
        <x:v>Official proceedings verified; CCF A via user-provided CCF 7th-edition venue mapping</x:v>
      </x:c>
      <x:c r="AE45" t="str">
        <x:v>2026-09-19</x:v>
      </x:c>
      <x:c r="AF45" t="str">
        <x:v>Formal main-conference or official conference track record verified from the official proceedings page. Unchecked metadata remains Unknown.</x:v>
      </x:c>
      <x:c r="AG45" t="str">
        <x:v>CCF A Conference</x:v>
      </x:c>
      <x:c r="AH45" t="str">
        <x:v>Official Conference Paper</x:v>
      </x:c>
      <x:c r="AI45" t="str">
        <x:v>No</x:v>
      </x:c>
      <x:c r="AJ45" t="str">
        <x:v>02_Papers/06_Diffusion_Flow_IL_RL/Dynamic_Test-Time_Compute_Scaling_in_Control_Policy_Difficulty-Aware_Stochastic_Interpolan.md</x:v>
      </x:c>
      <x:c r="AK45" t="str">
        <x:v>Strict CCF A</x:v>
      </x:c>
      <x:c r="AL45" t="str">
        <x:v>https://proceedings.neurips.cc/paper_files/paper/2025/hash/49eadcc4a329fc6b74b9f8a82b78cbc3-Abstract-Conference.html; official abstract/proceedings metadata</x:v>
      </x:c>
      <x:c r="AM45" t="str">
        <x:v>Abstract-level</x:v>
      </x:c>
      <x:c r="AN45" t="str">
        <x:v>Stochastic Interpolant / Efficiency</x:v>
      </x:c>
      <x:c r="AO45" t="str">
        <x:v>See canonical card Research Summary; generated only from official abstract-level evidence.</x:v>
      </x:c>
      <x:c r="AP45" t="str">
        <x:v>Stochastic Interpolant / Efficiency</x:v>
      </x:c>
      <x:c r="AQ45" t="str">
        <x:v>Real Robot=No; Dataset/Benchmark/Robot Platform retain Unknown when not verified.</x:v>
      </x:c>
      <x:c r="AR45" t="str">
        <x:v>** 与机器人操作、模仿学习或策略泛化相关；是否进入 L2/L3 取决于与双臂普通夹爪平台的可迁移性。</x:v>
      </x:c>
      <x:c r="AS45" t="str">
        <x:v>Project-stated CCF seventh-edition mapping; official row pending where noted</x:v>
      </x:c>
      <x:c r="AT45" t="str">
        <x:v>Diffusion / Flow / IL / RL</x:v>
      </x:c>
      <x:c r="AU45" t="n">
        <x:v>0</x:v>
      </x:c>
      <x:c r="AV45" t="str">
        <x:v>OpenAlex</x:v>
      </x:c>
      <x:c r="AW45" t="str">
        <x:v>2026-09-25</x:v>
      </x:c>
      <x:c r="AX45" t="str">
        <x:v>扩散和 Flow Policy 能生成复杂动作，但每次推理成本较高。</x:v>
      </x:c>
      <x:c r="AY45" t="str">
        <x:v>Unknown / Needs Full-Paper Verification</x:v>
      </x:c>
      <x:c r="AZ45" t="str">
        <x:v>以 `Stochastic Interpolant / Efficiency` 为主要方法/能力线索；更细的结构和消融结论待正文核验。</x:v>
      </x:c>
      <x:c r="BA45" t="str">
        <x:v>已核验摘要未明确说明；需查阅论文方法与实验章节。</x:v>
      </x:c>
      <x:c r="BB45" t="str">
        <x:v>Unknown / Needs Full-Paper Verification</x:v>
      </x:c>
      <x:c r="BC45" t="str">
        <x:v>- To address these issues, we introduce Difficulty-Aware Stochastic Interpolant Policy (DA-SIP), a framework that enables robotic controllers to adaptively adjust their integration hori</x:v>
      </x:c>
      <x:c r="BD45" t="str">
        <x:v>Real Robot 字段为 `No`；Dataset、Benchmark、Robot Platform 中的 Unknown 继续保留，不从题名推断。</x:v>
      </x:c>
      <x:c r="BE45" t="str">
        <x:v>论文报告在多项操作任务中总计算时间减少约 2.6–4.4 倍；具体成功率权衡见原文。</x:v>
      </x:c>
      <x:c r="BF45" t="str">
        <x:v>Unknown / Needs Full-Paper Verification</x:v>
      </x:c>
      <x:c r="BG45" t="str">
        <x:v>Library Analysis / Research Note: Unknown / Needs Full-Paper Verification</x:v>
      </x:c>
      <x:c r="BH45" t="str">
        <x:v>Stochastic Interpolant / Efficiency</x:v>
      </x:c>
      <x:c r="BI45" t="str">
        <x:v>B</x:v>
      </x:c>
      <x:c r="BJ45"/>
      <x:c r="BK45" t="str">
        <x:v>Unknown / Not Explicitly Reported in the currently accessible sources.</x:v>
      </x:c>
      <x:c r="BL45" t="str">
        <x:v>Unknown / Not Explicitly Reported in the currently accessible sources.</x:v>
      </x:c>
      <x:c r="BM45" t="str">
        <x:v>https://openalex.org/W7196975408</x:v>
      </x:c>
      <x:c r="BN45" t="str">
        <x:v>https://proceedings.neurips.cc/paper_files/paper/2025/hash/49eadcc4a329fc6b74b9f8a82b78cbc3-Abstract-Conference.html；官方摘要/论文集元数据</x:v>
      </x:c>
      <x:c r="BO45" t="str">
        <x:v>B-Code-Unverified</x:v>
      </x:c>
      <x:c r="BP45" t="str">
        <x:v>Not Found</x:v>
      </x:c>
      <x:c r="BQ45" t="str">
        <x:v>Unavailable</x:v>
      </x:c>
      <x:c r="BR45" t="str">
        <x:v>Unknown</x:v>
      </x:c>
      <x:c r="BS45" t="str">
        <x:v>https://proceedings.neurips.cc/paper_files/paper/2025/file/49eadcc4a329fc6b74b9f8a82b78cbc3-Paper-Conference.pdf</x:v>
      </x:c>
      <x:c r="BT45" t="str">
        <x:v>No</x:v>
      </x:c>
      <x:c r="BU45" t="str">
        <x:v>No</x:v>
      </x:c>
      <x:c r="BV45" t="str">
        <x:v>No</x:v>
      </x:c>
      <x:c r="BW45" t="str">
        <x:v>No</x:v>
      </x:c>
      <x:c r="BX45" t="str">
        <x:v>No</x:v>
      </x:c>
      <x:c r="BY45" t="str">
        <x:v>No</x:v>
      </x:c>
      <x:c r="BZ45" t="str">
        <x:v>No</x:v>
      </x:c>
      <x:c r="CA45" t="str">
        <x:v>Matched</x:v>
      </x:c>
      <x:c r="CB45" t="str">
        <x:v>Not Found After Verification</x:v>
      </x:c>
      <x:c r="CC45" t="str">
        <x:v>Not Found After Verification</x:v>
      </x:c>
      <x:c r="CD45" t="str">
        <x:v>Audit logged - deep extraction pending</x:v>
      </x:c>
      <x:c r="CE45" t="str">
        <x:v>false</x:v>
      </x:c>
      <x:c r="CF45"/>
      <x:c r="CG45" t="str">
        <x:v>研究问题：扩散和 Flow Policy 能生成复杂动作，但每次推理成本较高。；之前方法的问题：所有状态都用同样计算量会浪费简单动作的时间。；核心思路：DA-SIP 根据当前控制难度动态调整测试时计算量。；主要结果：论文报告在多项操作任务中总计算时间减少约 2.6–4.4 倍；具体成功率权衡见原文。；为什么重要：为双臂真机部署提供按难度分配算力的思路。；与当前项目的关系：High：动作频率和失败风险都受推理延迟影响。；主要局限：难度估计错误可能使困难接触动作获得不足计算。</x:v>
      </x:c>
      <x:c r="CH45" t="str">
        <x:v>所有状态都用同样计算量会浪费简单动作的时间。</x:v>
      </x:c>
      <x:c r="CI45" t="str">
        <x:v>DA-SIP 根据当前控制难度动态调整测试时计算量。</x:v>
      </x:c>
      <x:c r="CJ45"/>
      <x:c r="CK45" t="str">
        <x:v>论文报告在多项操作任务中总计算时间减少约 2.6–4.4 倍；具体成功率权衡见原文。</x:v>
      </x:c>
      <x:c r="CL45" t="str">
        <x:v>为双臂真机部署提供按难度分配算力的思路。</x:v>
      </x:c>
      <x:c r="CM45" t="str">
        <x:v>难度估计错误可能使困难接触动作获得不足计算。</x:v>
      </x:c>
      <x:c r="CN45"/>
      <x:c r="CO45" t="str">
        <x:v>High：动作频率和失败风险都受推理延迟影响。</x:v>
      </x:c>
      <x:c r="CP45" t="str">
        <x:v>官方摘要/论文页; https://proceedings.neurips.cc/paper_files/paper/2025/hash/49eadcc4a329fc6b74b9f8a82b78cbc3-Abstract-Conference.html; 核验于 2026-09-23. 仅为摘要级速读；原 Evidence Quality 不变。 - 核验层级：摘要有可追溯来源</x:v>
      </x:c>
      <x:c r="CQ45" t="str">
        <x:v>doi</x:v>
      </x:c>
      <x:c r="CR45" t="n">
        <x:v>0</x:v>
      </x:c>
      <x:c r="CS45" t="n">
        <x:v>0</x:v>
      </x:c>
    </x:row>
    <x:row r="46" ht="58" customHeight="1">
      <x:c r="A46" t="str">
        <x:v>A045</x:v>
      </x:c>
      <x:c r="B46" t="str">
        <x:v>OWMM-Agent: Open World Mobile Manipulation With Multi-modal Agentic Data Synthesis</x:v>
      </x:c>
      <x:c r="C46" t="str">
        <x:v>Chen, Junting; Liang, Haotian; Du, Lingxiao; Wang, Weiyun; Hu, Mengkang; Mu, Yao; Wang, Wenhai; Dai, Jifeng; Luo, Ping; Shao, Wenqi; Shao, Lin</x:v>
      </x:c>
      <x:c r="D46" t="n">
        <x:v>2025</x:v>
      </x:c>
      <x:c r="E46" t="str">
        <x:v>NeurIPS</x:v>
      </x:c>
      <x:c r="F46" t="str">
        <x:v>A</x:v>
      </x:c>
      <x:c r="G46" t="str">
        <x:v>Official Conference Paper</x:v>
      </x:c>
      <x:c r="H46" t="str">
        <x:v>Method Paper</x:v>
      </x:c>
      <x:c r="I46" t="str">
        <x:v>VLA; Robot Manipulation</x:v>
      </x:c>
      <x:c r="J46" t="str">
        <x:v>Mobile Manipulation / Agent</x:v>
      </x:c>
      <x:c r="K46" t="str">
        <x:v>Mobile Manipulation / Agent</x:v>
      </x:c>
      <x:c r="L46" t="e">
        <x:f>HYPERLINK("https://proceedings.neurips.cc/paper_files/paper/2025/hash/bc97207e3979d1cc23109db0be0e8ed2-Abstract-Conference.html","论文")</x:f>
        <x:v>HYPERLINK is not implemented. linkLocation=https://proceedings.neurips.cc/paper_files/paper/2025/hash/bc97207e3979d1cc23109db0be0e8ed2-Abstract-Conference.html, friendlyName=论文</x:v>
      </x:c>
      <x:c r="M46" t="e">
        <x:f>HYPERLINK("https://doi.org/10.52202/085713-4330","DOI")</x:f>
        <x:v>HYPERLINK is not implemented. linkLocation=https://doi.org/10.52202/085713-4330, friendlyName=DOI</x:v>
      </x:c>
      <x:c r="N46" t="str">
        <x:v>Unknown</x:v>
      </x:c>
      <x:c r="O46" t="str">
        <x:v>Unknown</x:v>
      </x:c>
      <x:c r="P46" t="str">
        <x:v>Unknown</x:v>
      </x:c>
      <x:c r="Q46" t="str">
        <x:v>Unknown</x:v>
      </x:c>
      <x:c r="R46" t="str">
        <x:v>Unknown</x:v>
      </x:c>
      <x:c r="S46" t="str">
        <x:v>Unknown</x:v>
      </x:c>
      <x:c r="T46" t="str">
        <x:v>Unknown</x:v>
      </x:c>
      <x:c r="U46" t="str">
        <x:v>Unknown</x:v>
      </x:c>
      <x:c r="V46" t="str">
        <x:v>Mobile Manipulator</x:v>
      </x:c>
      <x:c r="W46" t="str">
        <x:v>Unknown</x:v>
      </x:c>
      <x:c r="X46" t="str">
        <x:v>Unknown</x:v>
      </x:c>
      <x:c r="Y46" t="str">
        <x:v>Yes</x:v>
      </x:c>
      <x:c r="Z46" t="str">
        <x:v>Unknown</x:v>
      </x:c>
      <x:c r="AA46" t="str">
        <x:v>Unknown</x:v>
      </x:c>
      <x:c r="AB46" t="str">
        <x:v>Unknown</x:v>
      </x:c>
      <x:c r="AC46" t="str">
        <x:v>P0</x:v>
      </x:c>
      <x:c r="AD46" t="str">
        <x:v>Official proceedings verified; CCF A via user-provided CCF 7th-edition venue mapping</x:v>
      </x:c>
      <x:c r="AE46" t="str">
        <x:v>2026-09-19</x:v>
      </x:c>
      <x:c r="AF46" t="str">
        <x:v>Formal main-conference or official conference track record verified from the official proceedings page. Unchecked metadata remains Unknown.</x:v>
      </x:c>
      <x:c r="AG46" t="str">
        <x:v>CCF A Conference</x:v>
      </x:c>
      <x:c r="AH46" t="str">
        <x:v>Official Conference Paper</x:v>
      </x:c>
      <x:c r="AI46" t="str">
        <x:v>No</x:v>
      </x:c>
      <x:c r="AJ46" t="str">
        <x:v>02_Papers/07_Generalization_LongHorizon/OWMM-Agent.md</x:v>
      </x:c>
      <x:c r="AK46" t="str">
        <x:v>Strict CCF A</x:v>
      </x:c>
      <x:c r="AL46" t="str">
        <x:v>https://proceedings.neurips.cc/paper_files/paper/2025/hash/bc97207e3979d1cc23109db0be0e8ed2-Abstract-Conference.html; official abstract/proceedings metadata</x:v>
      </x:c>
      <x:c r="AM46" t="str">
        <x:v>Abstract-level</x:v>
      </x:c>
      <x:c r="AN46" t="str">
        <x:v>Mobile Manipulation / Agent</x:v>
      </x:c>
      <x:c r="AO46" t="str">
        <x:v>See canonical card Research Summary; generated only from official abstract-level evidence.</x:v>
      </x:c>
      <x:c r="AP46" t="str">
        <x:v>Mobile Manipulation / Agent</x:v>
      </x:c>
      <x:c r="AQ46" t="str">
        <x:v>Real Robot=Yes; Dataset/Benchmark/Robot Platform retain Unknown when not verified.</x:v>
      </x:c>
      <x:c r="AR46" t="str">
        <x:v>** 与机器人操作、模仿学习或策略泛化相关；是否进入 L2/L3 取决于与双臂普通夹爪平台的可迁移性。</x:v>
      </x:c>
      <x:c r="AS46" t="str">
        <x:v>Project-stated CCF seventh-edition mapping; official row pending where noted</x:v>
      </x:c>
      <x:c r="AT46" t="str">
        <x:v>Generalization / Long-Horizon</x:v>
      </x:c>
      <x:c r="AU46" t="n">
        <x:v>1</x:v>
      </x:c>
      <x:c r="AV46" t="str">
        <x:v>OpenAlex</x:v>
      </x:c>
      <x:c r="AW46" t="str">
        <x:v>2026-09-25</x:v>
      </x:c>
      <x:c r="AX46" t="str">
        <x:v>移动机器人要在开放世界同时处理导航、场景理解与物体操作。</x:v>
      </x:c>
      <x:c r="AY46" t="str">
        <x:v>Unknown / Needs Full-Paper Verification</x:v>
      </x:c>
      <x:c r="AZ46" t="str">
        <x:v>以 `Mobile Manipulation / Agent` 为主要方法/能力线索；更细的结构和消融结论待正文核验。</x:v>
      </x:c>
      <x:c r="BA46" t="str">
        <x:v>已核验摘要未明确说明；需查阅论文方法与实验章节。</x:v>
      </x:c>
      <x:c r="BB46" t="str">
        <x:v>Unknown / Needs Full-Paper Verification</x:v>
      </x:c>
      <x:c r="BC46" t="str">
        <x:v>- To address this complexity, we propose a novel multi-modal agent architecture that maintains multi-view scene frames and agent states for decision-making and controls the robot by function calling.</x:v>
      </x:c>
      <x:c r="BD46" t="str">
        <x:v>Real Robot 字段为 `Yes`；Dataset、Benchmark、Robot Platform 中的 Unknown 继续保留，不从题名推断。</x:v>
      </x:c>
      <x:c r="BE46" t="str">
        <x:v>作者报告相对所比较基础模型达到更好表现；具体 benchmark 和数字见论文。</x:v>
      </x:c>
      <x:c r="BF46" t="str">
        <x:v>Unknown / Needs Full-Paper Verification</x:v>
      </x:c>
      <x:c r="BG46" t="str">
        <x:v>Library Analysis / Research Note: Unknown / Needs Full-Paper Verification</x:v>
      </x:c>
      <x:c r="BH46" t="str">
        <x:v>Mobile Manipulation / Agent</x:v>
      </x:c>
      <x:c r="BI46" t="str">
        <x:v>B</x:v>
      </x:c>
      <x:c r="BJ46"/>
      <x:c r="BK46" t="str">
        <x:v>Unknown / Not Explicitly Reported in the currently accessible sources.</x:v>
      </x:c>
      <x:c r="BL46" t="str">
        <x:v>Unknown / Not Explicitly Reported in the currently accessible sources.</x:v>
      </x:c>
      <x:c r="BM46" t="str">
        <x:v>https://openalex.org/W7197036842</x:v>
      </x:c>
      <x:c r="BN46" t="str">
        <x:v>https://proceedings.neurips.cc/paper_files/paper/2025/hash/bc97207e3979d1cc23109db0be0e8ed2-Abstract-Conference.html；官方摘要/论文集元数据</x:v>
      </x:c>
      <x:c r="BO46" t="str">
        <x:v>B-Code-Unverified</x:v>
      </x:c>
      <x:c r="BP46" t="str">
        <x:v>Not Found</x:v>
      </x:c>
      <x:c r="BQ46" t="str">
        <x:v>Unavailable</x:v>
      </x:c>
      <x:c r="BR46" t="str">
        <x:v>Unknown</x:v>
      </x:c>
      <x:c r="BS46" t="str">
        <x:v>https://proceedings.neurips.cc/paper_files/paper/2025/file/bc97207e3979d1cc23109db0be0e8ed2-Paper-Conference.pdf</x:v>
      </x:c>
      <x:c r="BT46" t="str">
        <x:v>No</x:v>
      </x:c>
      <x:c r="BU46" t="str">
        <x:v>No</x:v>
      </x:c>
      <x:c r="BV46" t="str">
        <x:v>No</x:v>
      </x:c>
      <x:c r="BW46" t="str">
        <x:v>No</x:v>
      </x:c>
      <x:c r="BX46" t="str">
        <x:v>No</x:v>
      </x:c>
      <x:c r="BY46" t="str">
        <x:v>No</x:v>
      </x:c>
      <x:c r="BZ46" t="str">
        <x:v>No</x:v>
      </x:c>
      <x:c r="CA46" t="str">
        <x:v>Matched</x:v>
      </x:c>
      <x:c r="CB46" t="str">
        <x:v>Not Found After Verification</x:v>
      </x:c>
      <x:c r="CC46" t="str">
        <x:v>Not Found After Verification</x:v>
      </x:c>
      <x:c r="CD46" t="str">
        <x:v>Audit logged - deep extraction pending</x:v>
      </x:c>
      <x:c r="CE46" t="str">
        <x:v>false</x:v>
      </x:c>
      <x:c r="CF46"/>
      <x:c r="CG46" t="str">
        <x:v>研究问题：移动机器人要在开放世界同时处理导航、场景理解与物体操作。；之前方法的问题：多个专用模块的状态难以统一维护和协调。；核心思路：OWMM-Agent 用多模态代理维护多视角场景表示并组织操作步骤。；主要结果：作者报告相对所比较基础模型达到更好表现；具体 benchmark 和数字见论文。；为什么重要：可参考复杂任务中感知与规划状态如何保持一致。；与当前项目的关系：Medium：本项目主要是双臂操作，不直接涉及移动导航。；主要局限：模块化代理的误差传播与真机长任务稳定性需核验。</x:v>
      </x:c>
      <x:c r="CH46" t="str">
        <x:v>多个专用模块的状态难以统一维护和协调。</x:v>
      </x:c>
      <x:c r="CI46" t="str">
        <x:v>OWMM-Agent 用多模态代理维护多视角场景表示并组织操作步骤。</x:v>
      </x:c>
      <x:c r="CJ46"/>
      <x:c r="CK46" t="str">
        <x:v>作者报告相对所比较基础模型达到更好表现；具体 benchmark 和数字见论文。</x:v>
      </x:c>
      <x:c r="CL46" t="str">
        <x:v>可参考复杂任务中感知与规划状态如何保持一致。</x:v>
      </x:c>
      <x:c r="CM46" t="str">
        <x:v>模块化代理的误差传播与真机长任务稳定性需核验。</x:v>
      </x:c>
      <x:c r="CN46"/>
      <x:c r="CO46" t="str">
        <x:v>Medium：本项目主要是双臂操作，不直接涉及移动导航。</x:v>
      </x:c>
      <x:c r="CP46" t="str">
        <x:v>官方摘要/论文页; https://proceedings.neurips.cc/paper_files/paper/2025/hash/bc97207e3979d1cc23109db0be0e8ed2-Abstract-Conference.html; 核验于 2026-09-23. 仅为摘要级速读；原 Evidence Quality 不变。 - 核验层级：摘要有可追溯来源</x:v>
      </x:c>
      <x:c r="CQ46" t="str">
        <x:v>doi</x:v>
      </x:c>
      <x:c r="CR46" t="n">
        <x:v>0</x:v>
      </x:c>
      <x:c r="CS46" t="n">
        <x:v>0</x:v>
      </x:c>
    </x:row>
    <x:row r="47" ht="58" customHeight="1">
      <x:c r="A47" t="str">
        <x:v>A046</x:v>
      </x:c>
      <x:c r="B47" t="str">
        <x:v>FreqPolicy: Efficient Flow-based Visuomotor Policy via Frequency Consistency</x:v>
      </x:c>
      <x:c r="C47" t="str">
        <x:v>Su, Yifei; Liu, Ning; Chen, Dong; Zhao, Zhen; Wu, Kun; Li, Meng; Xu, Zhiyuan; Che, Zhengping; Tang, Jian</x:v>
      </x:c>
      <x:c r="D47" t="n">
        <x:v>2025</x:v>
      </x:c>
      <x:c r="E47" t="str">
        <x:v>NeurIPS</x:v>
      </x:c>
      <x:c r="F47" t="str">
        <x:v>A</x:v>
      </x:c>
      <x:c r="G47" t="str">
        <x:v>Official Conference Paper</x:v>
      </x:c>
      <x:c r="H47" t="str">
        <x:v>Method Paper</x:v>
      </x:c>
      <x:c r="I47" t="str">
        <x:v>Diffusion / Flow; Robot Manipulation</x:v>
      </x:c>
      <x:c r="J47" t="str">
        <x:v>Flow Matching / Visuomotor Policy</x:v>
      </x:c>
      <x:c r="K47" t="str">
        <x:v>Flow Matching / Visuomotor Policy</x:v>
      </x:c>
      <x:c r="L47" t="e">
        <x:f>HYPERLINK("https://proceedings.neurips.cc/paper_files/paper/2025/hash/282c3318be1b047b7bb5ba94fa4f3231-Abstract-Conference.html","论文")</x:f>
        <x:v>HYPERLINK is not implemented. linkLocation=https://proceedings.neurips.cc/paper_files/paper/2025/hash/282c3318be1b047b7bb5ba94fa4f3231-Abstract-Conference.html, friendlyName=论文</x:v>
      </x:c>
      <x:c r="M47" t="e">
        <x:f>HYPERLINK("https://doi.org/10.52202/085713-0937","DOI")</x:f>
        <x:v>HYPERLINK is not implemented. linkLocation=https://doi.org/10.52202/085713-0937, friendlyName=DOI</x:v>
      </x:c>
      <x:c r="N47" t="str">
        <x:v>Unknown</x:v>
      </x:c>
      <x:c r="O47" t="str">
        <x:v>Unknown</x:v>
      </x:c>
      <x:c r="P47" t="str">
        <x:v>Unknown</x:v>
      </x:c>
      <x:c r="Q47" t="str">
        <x:v>Unknown</x:v>
      </x:c>
      <x:c r="R47" t="str">
        <x:v>Unknown</x:v>
      </x:c>
      <x:c r="S47" t="str">
        <x:v>Unknown</x:v>
      </x:c>
      <x:c r="T47" t="str">
        <x:v>Unknown</x:v>
      </x:c>
      <x:c r="U47" t="str">
        <x:v>Unknown</x:v>
      </x:c>
      <x:c r="V47" t="str">
        <x:v>Unknown</x:v>
      </x:c>
      <x:c r="W47" t="str">
        <x:v>Unknown</x:v>
      </x:c>
      <x:c r="X47" t="str">
        <x:v>Unknown</x:v>
      </x:c>
      <x:c r="Y47" t="str">
        <x:v>Unknown</x:v>
      </x:c>
      <x:c r="Z47" t="str">
        <x:v>Unknown</x:v>
      </x:c>
      <x:c r="AA47" t="str">
        <x:v>Unknown</x:v>
      </x:c>
      <x:c r="AB47" t="str">
        <x:v>Unknown</x:v>
      </x:c>
      <x:c r="AC47" t="str">
        <x:v>P0</x:v>
      </x:c>
      <x:c r="AD47" t="str">
        <x:v>Official proceedings verified; CCF A via user-provided CCF 7th-edition venue mapping</x:v>
      </x:c>
      <x:c r="AE47" t="str">
        <x:v>2026-09-19</x:v>
      </x:c>
      <x:c r="AF47" t="str">
        <x:v>Formal main-conference or official conference track record verified from the official proceedings page. Unchecked metadata remains Unknown.</x:v>
      </x:c>
      <x:c r="AG47" t="str">
        <x:v>CCF A Conference</x:v>
      </x:c>
      <x:c r="AH47" t="str">
        <x:v>Official Conference Paper</x:v>
      </x:c>
      <x:c r="AI47" t="str">
        <x:v>No</x:v>
      </x:c>
      <x:c r="AJ47" t="str">
        <x:v>02_Papers/06_Diffusion_Flow_IL_RL/FreqPolicy.md</x:v>
      </x:c>
      <x:c r="AK47" t="str">
        <x:v>Strict CCF A</x:v>
      </x:c>
      <x:c r="AL47" t="str">
        <x:v>https://proceedings.neurips.cc/paper_files/paper/2025/hash/282c3318be1b047b7bb5ba94fa4f3231-Abstract-Conference.html; official abstract/proceedings metadata</x:v>
      </x:c>
      <x:c r="AM47" t="str">
        <x:v>Abstract-level</x:v>
      </x:c>
      <x:c r="AN47" t="str">
        <x:v>Flow Matching / Visuomotor Policy</x:v>
      </x:c>
      <x:c r="AO47" t="str">
        <x:v>See canonical card Research Summary; generated only from official abstract-level evidence.</x:v>
      </x:c>
      <x:c r="AP47" t="str">
        <x:v>Flow Matching / Visuomotor Policy</x:v>
      </x:c>
      <x:c r="AQ47" t="str">
        <x:v>Real Robot=Unknown; Dataset/Benchmark/Robot Platform retain Unknown when not verified.</x:v>
      </x:c>
      <x:c r="AR47" t="str">
        <x:v>** 与机器人操作、模仿学习或策略泛化相关；是否进入 L2/L3 取决于与双臂普通夹爪平台的可迁移性。</x:v>
      </x:c>
      <x:c r="AS47" t="str">
        <x:v>Project-stated CCF seventh-edition mapping; official row pending where noted</x:v>
      </x:c>
      <x:c r="AT47" t="str">
        <x:v>Diffusion / Flow / IL / RL</x:v>
      </x:c>
      <x:c r="AU47" t="n">
        <x:v>0</x:v>
      </x:c>
      <x:c r="AV47" t="str">
        <x:v>OpenAlex</x:v>
      </x:c>
      <x:c r="AW47" t="str">
        <x:v>2026-09-25</x:v>
      </x:c>
      <x:c r="AX47" t="str">
        <x:v>生成式视觉运动策略在复杂动作上表现好，但在线推理可能偏慢。</x:v>
      </x:c>
      <x:c r="AY47" t="str">
        <x:v>Unknown / Needs Full-Paper Verification</x:v>
      </x:c>
      <x:c r="AZ47" t="str">
        <x:v>以 `Flow Matching / Visuomotor Policy` 为主要方法/能力线索；更细的结构和消融结论待正文核验。</x:v>
      </x:c>
      <x:c r="BA47" t="str">
        <x:v>已核验摘要未明确说明；需查阅论文方法与实验章节。</x:v>
      </x:c>
      <x:c r="BB47" t="str">
        <x:v>Unknown / Needs Full-Paper Verification</x:v>
      </x:c>
      <x:c r="BC47" t="str">
        <x:v>- To this end, we propose FreqPolicy, a novel approach that first imposes frequency consistency constraints on flow-based visuomotor policies.</x:v>
      </x:c>
      <x:c r="BD47" t="str">
        <x:v>Real Robot 字段为 `Unknown`；Dataset、Benchmark、Robot Platform 中的 Unknown 继续保留，不从题名推断。</x:v>
      </x:c>
      <x:c r="BE47" t="str">
        <x:v>Unknown / Needs Full-Paper Verification</x:v>
      </x:c>
      <x:c r="BF47" t="str">
        <x:v>Unknown / Needs Full-Paper Verification</x:v>
      </x:c>
      <x:c r="BG47" t="str">
        <x:v>Library Analysis / Research Note: Unknown / Needs Full-Paper Verification</x:v>
      </x:c>
      <x:c r="BH47" t="str">
        <x:v>Flow Matching / Visuomotor Policy</x:v>
      </x:c>
      <x:c r="BI47" t="str">
        <x:v>B</x:v>
      </x:c>
      <x:c r="BJ47"/>
      <x:c r="BK47" t="str">
        <x:v>Unknown / Not Explicitly Reported in the currently accessible sources.</x:v>
      </x:c>
      <x:c r="BL47" t="str">
        <x:v>Unknown / Not Explicitly Reported in the currently accessible sources.</x:v>
      </x:c>
      <x:c r="BM47" t="str">
        <x:v>https://openalex.org/W4417258107</x:v>
      </x:c>
      <x:c r="BN47" t="str">
        <x:v>https://proceedings.neurips.cc/paper_files/paper/2025/hash/282c3318be1b047b7bb5ba94fa4f3231-Abstract-Conference.html；官方摘要/论文集元数据</x:v>
      </x:c>
      <x:c r="BO47" t="str">
        <x:v>B-Code-Unverified</x:v>
      </x:c>
      <x:c r="BP47" t="str">
        <x:v>Not Found</x:v>
      </x:c>
      <x:c r="BQ47" t="str">
        <x:v>Unavailable</x:v>
      </x:c>
      <x:c r="BR47" t="str">
        <x:v>Unknown</x:v>
      </x:c>
      <x:c r="BS47" t="str">
        <x:v>https://proceedings.neurips.cc/paper_files/paper/2025/file/282c3318be1b047b7bb5ba94fa4f3231-Paper-Conference.pdf</x:v>
      </x:c>
      <x:c r="BT47" t="str">
        <x:v>No</x:v>
      </x:c>
      <x:c r="BU47" t="str">
        <x:v>No</x:v>
      </x:c>
      <x:c r="BV47" t="str">
        <x:v>No</x:v>
      </x:c>
      <x:c r="BW47" t="str">
        <x:v>No</x:v>
      </x:c>
      <x:c r="BX47" t="str">
        <x:v>No</x:v>
      </x:c>
      <x:c r="BY47" t="str">
        <x:v>No</x:v>
      </x:c>
      <x:c r="BZ47" t="str">
        <x:v>No</x:v>
      </x:c>
      <x:c r="CA47" t="str">
        <x:v>Matched</x:v>
      </x:c>
      <x:c r="CB47" t="str">
        <x:v>Not Found After Verification</x:v>
      </x:c>
      <x:c r="CC47" t="str">
        <x:v>Not Found After Verification</x:v>
      </x:c>
      <x:c r="CD47" t="str">
        <x:v>Audit logged - deep extraction pending</x:v>
      </x:c>
      <x:c r="CE47" t="str">
        <x:v>false</x:v>
      </x:c>
      <x:c r="CF47"/>
      <x:c r="CG47" t="str">
        <x:v>研究问题：生成式视觉运动策略在复杂动作上表现好，但在线推理可能偏慢。；之前方法的问题：常规 Flow Policy 未充分利用动作中的不同频率结构。；核心思路：FreqPolicy 给流式动作生成加入频率一致性约束，并尝试融入 VLA。；为什么重要：为实时双臂控制提供动作频率建模视角。；与当前项目的关系：High：推理延迟直接影响双臂同步和失败检测。；主要局限：需核验高频控制对真机安全与接触稳定性的影响。</x:v>
      </x:c>
      <x:c r="CH47" t="str">
        <x:v>常规 Flow Policy 未充分利用动作中的不同频率结构。</x:v>
      </x:c>
      <x:c r="CI47" t="str">
        <x:v>FreqPolicy 给流式动作生成加入频率一致性约束，并尝试融入 VLA。</x:v>
      </x:c>
      <x:c r="CJ47"/>
      <x:c r="CK47" t="str">
        <x:v>作者报告在 VLA 中加速而不降低所报告任务表现；具体速度数值需查正文。</x:v>
      </x:c>
      <x:c r="CL47" t="str">
        <x:v>为实时双臂控制提供动作频率建模视角。</x:v>
      </x:c>
      <x:c r="CM47" t="str">
        <x:v>需核验高频控制对真机安全与接触稳定性的影响。</x:v>
      </x:c>
      <x:c r="CN47"/>
      <x:c r="CO47" t="str">
        <x:v>High：推理延迟直接影响双臂同步和失败检测。</x:v>
      </x:c>
      <x:c r="CP47" t="str">
        <x:v>官方摘要/论文页; https://proceedings.neurips.cc/paper_files/paper/2025/hash/282c3318be1b047b7bb5ba94fa4f3231-Abstract-Conference.html; 核验于 2026-09-23. 仅为摘要级速读；原 Evidence Quality 不变。 - 核验层级：摘要有可追溯来源</x:v>
      </x:c>
      <x:c r="CQ47" t="str">
        <x:v>doi</x:v>
      </x:c>
      <x:c r="CR47" t="n">
        <x:v>0</x:v>
      </x:c>
      <x:c r="CS47" t="n">
        <x:v>1</x:v>
      </x:c>
    </x:row>
    <x:row r="48" ht="58" customHeight="1">
      <x:c r="A48" t="str">
        <x:v>A047</x:v>
      </x:c>
      <x:c r="B48" t="str">
        <x:v>RobotSmith: Generative Robotic Tool Design for Acquisition of Complex Manipulation Skills</x:v>
      </x:c>
      <x:c r="C48" t="str">
        <x:v>Lin, Chunru; Yuan, Haotian; Wang, Yian; Qiu, Xiaowen; Wang, Tsun-Hsuan Johnson; Guo, Minghao; Wang, Bohan; Narang, Yashraj; Fox, Dieter; Gan, Chuang</x:v>
      </x:c>
      <x:c r="D48" t="n">
        <x:v>2025</x:v>
      </x:c>
      <x:c r="E48" t="str">
        <x:v>NeurIPS</x:v>
      </x:c>
      <x:c r="F48" t="str">
        <x:v>A</x:v>
      </x:c>
      <x:c r="G48" t="str">
        <x:v>Official Conference Paper</x:v>
      </x:c>
      <x:c r="H48" t="str">
        <x:v>Method Paper</x:v>
      </x:c>
      <x:c r="I48" t="str">
        <x:v>Robot Manipulation</x:v>
      </x:c>
      <x:c r="J48" t="str">
        <x:v>Tool Use / Generative Design</x:v>
      </x:c>
      <x:c r="K48" t="str">
        <x:v>Tool Use / Generative Design</x:v>
      </x:c>
      <x:c r="L48" t="e">
        <x:f>HYPERLINK("https://proceedings.neurips.cc/paper_files/paper/2025/hash/9fc291fef2f9607a46777d367f900a15-Abstract-Conference.html","论文")</x:f>
        <x:v>HYPERLINK is not implemented. linkLocation=https://proceedings.neurips.cc/paper_files/paper/2025/hash/9fc291fef2f9607a46777d367f900a15-Abstract-Conference.html, friendlyName=论文</x:v>
      </x:c>
      <x:c r="M48" t="e">
        <x:f>HYPERLINK("https://doi.org/10.52202/085713-3684","DOI")</x:f>
        <x:v>HYPERLINK is not implemented. linkLocation=https://doi.org/10.52202/085713-3684, friendlyName=DOI</x:v>
      </x:c>
      <x:c r="N48" t="str">
        <x:v>Unknown</x:v>
      </x:c>
      <x:c r="O48" t="str">
        <x:v>Unknown</x:v>
      </x:c>
      <x:c r="P48" t="str">
        <x:v>Unknown</x:v>
      </x:c>
      <x:c r="Q48" t="str">
        <x:v>Unknown</x:v>
      </x:c>
      <x:c r="R48" t="str">
        <x:v>Unknown</x:v>
      </x:c>
      <x:c r="S48" t="str">
        <x:v>Unknown</x:v>
      </x:c>
      <x:c r="T48" t="str">
        <x:v>Unknown</x:v>
      </x:c>
      <x:c r="U48" t="str">
        <x:v>Unknown</x:v>
      </x:c>
      <x:c r="V48" t="str">
        <x:v>Single Arm / Parallel Gripper</x:v>
      </x:c>
      <x:c r="W48" t="str">
        <x:v>Single Arm</x:v>
      </x:c>
      <x:c r="X48" t="str">
        <x:v>Parallel Gripper</x:v>
      </x:c>
      <x:c r="Y48" t="str">
        <x:v>Unknown</x:v>
      </x:c>
      <x:c r="Z48" t="str">
        <x:v>Unknown</x:v>
      </x:c>
      <x:c r="AA48" t="str">
        <x:v>Unknown</x:v>
      </x:c>
      <x:c r="AB48" t="str">
        <x:v>Unknown</x:v>
      </x:c>
      <x:c r="AC48" t="str">
        <x:v>P1</x:v>
      </x:c>
      <x:c r="AD48" t="str">
        <x:v>Official proceedings verified; CCF A via user-provided CCF 7th-edition venue mapping</x:v>
      </x:c>
      <x:c r="AE48" t="str">
        <x:v>2026-09-19</x:v>
      </x:c>
      <x:c r="AF48" t="str">
        <x:v>Formal main-conference or official conference track record verified from the official proceedings page. Unchecked metadata remains Unknown.</x:v>
      </x:c>
      <x:c r="AG48" t="str">
        <x:v>CCF A Conference</x:v>
      </x:c>
      <x:c r="AH48" t="str">
        <x:v>Official Conference Paper</x:v>
      </x:c>
      <x:c r="AI48" t="str">
        <x:v>No</x:v>
      </x:c>
      <x:c r="AJ48" t="str">
        <x:v>02_Papers/02_Robot_Manipulation/RobotSmith.md</x:v>
      </x:c>
      <x:c r="AK48" t="str">
        <x:v>Strict CCF A</x:v>
      </x:c>
      <x:c r="AL48" t="str">
        <x:v>https://proceedings.neurips.cc/paper_files/paper/2025/hash/9fc291fef2f9607a46777d367f900a15-Abstract-Conference.html; official abstract/proceedings metadata</x:v>
      </x:c>
      <x:c r="AM48" t="str">
        <x:v>Abstract-level</x:v>
      </x:c>
      <x:c r="AN48" t="str">
        <x:v>Tool Use / Generative Design</x:v>
      </x:c>
      <x:c r="AO48" t="str">
        <x:v>See canonical card Research Summary; generated only from official abstract-level evidence.</x:v>
      </x:c>
      <x:c r="AP48" t="str">
        <x:v>Tool Use / Generative Design</x:v>
      </x:c>
      <x:c r="AQ48" t="str">
        <x:v>Real Robot=Unknown; Dataset/Benchmark/Robot Platform retain Unknown when not verified.</x:v>
      </x:c>
      <x:c r="AR48" t="str">
        <x:v>** 与机器人操作、模仿学习或策略泛化相关；是否进入 L2/L3 取决于与双臂普通夹爪平台的可迁移性。</x:v>
      </x:c>
      <x:c r="AS48" t="str">
        <x:v>Project-stated CCF seventh-edition mapping; official row pending where noted</x:v>
      </x:c>
      <x:c r="AT48" t="str">
        <x:v>Robot Manipulation</x:v>
      </x:c>
      <x:c r="AU48" t="n">
        <x:v>0</x:v>
      </x:c>
      <x:c r="AV48" t="str">
        <x:v>OpenAlex</x:v>
      </x:c>
      <x:c r="AW48" t="str">
        <x:v>2026-09-25</x:v>
      </x:c>
      <x:c r="AX48" t="str">
        <x:v>一些复杂操作需要先设计或选择合适工具，机器人现有能力不足以直接完成。</x:v>
      </x:c>
      <x:c r="AY48" t="str">
        <x:v>Unknown / Needs Full-Paper Verification</x:v>
      </x:c>
      <x:c r="AZ48" t="str">
        <x:v>以 `Tool Use / Generative Design` 为主要方法/能力线索；更细的结构和消融结论待正文核验。</x:v>
      </x:c>
      <x:c r="BA48" t="str">
        <x:v>工具设计与操作任务；具体任务和基线见论文实验。</x:v>
      </x:c>
      <x:c r="BB48" t="str">
        <x:v>Unknown / Needs Full-Paper Verification</x:v>
      </x:c>
      <x:c r="BC48" t="str">
        <x:v>- To address these limitations, we propose RobotSmith , an automated pipeline that leverages the implicit physical knowledge embedded in vision-language models (VLMs) alongside the more accurate physics provided by physics simulations to design and use tools for robotic manipulation.</x:v>
      </x:c>
      <x:c r="BD48" t="str">
        <x:v>Real Robot 字段为 `Unknown`；Dataset、Benchmark、Robot Platform 中的 Unknown 继续保留，不从题名推断。</x:v>
      </x:c>
      <x:c r="BE48" t="str">
        <x:v>论文报告平均成功率 50.0%，高于 3D 生成基线 21.4% 和工具检索基线 11.1%。</x:v>
      </x:c>
      <x:c r="BF48" t="str">
        <x:v>Unknown / Needs Full-Paper Verification</x:v>
      </x:c>
      <x:c r="BG48" t="str">
        <x:v>Library Analysis / Research Note: Unknown / Needs Full-Paper Verification</x:v>
      </x:c>
      <x:c r="BH48" t="str">
        <x:v>Tool Use / Generative Design</x:v>
      </x:c>
      <x:c r="BI48" t="str">
        <x:v>B</x:v>
      </x:c>
      <x:c r="BJ48"/>
      <x:c r="BK48" t="str">
        <x:v>Unknown / Not Explicitly Reported in the currently accessible sources.</x:v>
      </x:c>
      <x:c r="BL48" t="str">
        <x:v>Unknown / Not Explicitly Reported in the currently accessible sources.</x:v>
      </x:c>
      <x:c r="BM48" t="str">
        <x:v>https://openalex.org/W4415312722</x:v>
      </x:c>
      <x:c r="BN48" t="str">
        <x:v>https://proceedings.neurips.cc/paper_files/paper/2025/hash/9fc291fef2f9607a46777d367f900a15-Abstract-Conference.html；官方摘要/论文集元数据</x:v>
      </x:c>
      <x:c r="BO48" t="str">
        <x:v>B-Code-Unverified</x:v>
      </x:c>
      <x:c r="BP48" t="str">
        <x:v>Not Found</x:v>
      </x:c>
      <x:c r="BQ48" t="str">
        <x:v>Unavailable</x:v>
      </x:c>
      <x:c r="BR48" t="str">
        <x:v>Unknown</x:v>
      </x:c>
      <x:c r="BS48" t="str">
        <x:v>https://proceedings.neurips.cc/paper_files/paper/2025/file/9fc291fef2f9607a46777d367f900a15-Paper-Conference.pdf</x:v>
      </x:c>
      <x:c r="BT48" t="str">
        <x:v>No</x:v>
      </x:c>
      <x:c r="BU48" t="str">
        <x:v>No</x:v>
      </x:c>
      <x:c r="BV48" t="str">
        <x:v>No</x:v>
      </x:c>
      <x:c r="BW48" t="str">
        <x:v>No</x:v>
      </x:c>
      <x:c r="BX48" t="str">
        <x:v>No</x:v>
      </x:c>
      <x:c r="BY48" t="str">
        <x:v>No</x:v>
      </x:c>
      <x:c r="BZ48" t="str">
        <x:v>No</x:v>
      </x:c>
      <x:c r="CA48" t="str">
        <x:v>Matched</x:v>
      </x:c>
      <x:c r="CB48" t="str">
        <x:v>Not Found After Verification</x:v>
      </x:c>
      <x:c r="CC48" t="str">
        <x:v>Not Found After Verification</x:v>
      </x:c>
      <x:c r="CD48" t="str">
        <x:v>Audit logged - deep extraction pending</x:v>
      </x:c>
      <x:c r="CE48" t="str">
        <x:v>false</x:v>
      </x:c>
      <x:c r="CF48"/>
      <x:c r="CG48" t="str">
        <x:v>研究问题：一些复杂操作需要先设计或选择合适工具，机器人现有能力不足以直接完成。；之前方法的问题：只靠视觉语言模型可能不了解真实物理约束；只检索现有工具也会限制任务覆盖。；核心思路：RobotSmith 结合 VLM 中的物理常识和仿真提供的更精确物理反馈，自动设计并使用工具。；数据集与评测基准：工具设计与操作任务；具体任务和基线见论文实验。；主要结果：论文报告平均成功率 50.0%，高于 3D 生成基线 21.4% 和工具检索基线 11.1%。；为什么重要：展示语言模型与物理仿真协同设计工具的可能性。；与当前项目的关系：Medium：工具规划思路可借鉴，但本项目当前重点仍是双臂普通夹爪。；主要局限：摘要未明确说明全部真机失败类型和工具制造约束。</x:v>
      </x:c>
      <x:c r="CH48" t="str">
        <x:v>只靠视觉语言模型可能不了解真实物理约束；只检索现有工具也会限制任务覆盖。</x:v>
      </x:c>
      <x:c r="CI48" t="str">
        <x:v>RobotSmith 结合 VLM 中的物理常识和仿真提供的更精确物理反馈，自动设计并使用工具。</x:v>
      </x:c>
      <x:c r="CJ48"/>
      <x:c r="CK48" t="str">
        <x:v>论文报告平均成功率 50.0%，高于 3D 生成基线 21.4% 和工具检索基线 11.1%。</x:v>
      </x:c>
      <x:c r="CL48" t="str">
        <x:v>展示语言模型与物理仿真协同设计工具的可能性。</x:v>
      </x:c>
      <x:c r="CM48" t="str">
        <x:v>摘要未明确说明全部真机失败类型和工具制造约束。</x:v>
      </x:c>
      <x:c r="CN48"/>
      <x:c r="CO48" t="str">
        <x:v>Medium：工具规划思路可借鉴，但本项目当前重点仍是双臂普通夹爪。</x:v>
      </x:c>
      <x:c r="CP48" t="str">
        <x:v>官方摘要/论文页; https://arxiv.org/html/2506.14763; 核验于 2026-09-23. 仅为摘要级速读；原 Evidence Quality 不变。 - 核验层级：摘要有可追溯来源</x:v>
      </x:c>
      <x:c r="CQ48" t="str">
        <x:v>doi</x:v>
      </x:c>
      <x:c r="CR48" t="n">
        <x:v>1</x:v>
      </x:c>
      <x:c r="CS48" t="n">
        <x:v>1</x:v>
      </x:c>
    </x:row>
    <x:row r="49" ht="58" customHeight="1">
      <x:c r="A49" t="str">
        <x:v>A048</x:v>
      </x:c>
      <x:c r="B49" t="str">
        <x:v>PointMapPolicy: Structured Point Cloud Processing for Multi-Modal Imitation Learning</x:v>
      </x:c>
      <x:c r="C49" t="str">
        <x:v>Jia, Xiaogang; Wang, Qian; Wang, Anrui; Wang, Han; Gyenes, Balázs; Gospodinov, Emiliyan; Jiang, Xinkai; Li, Ge; Zhou, Hongyi; Liao, Weiran; Huang, Xi; Beck, Maximilian; Reuss, Moritz; Lioutikov, Rudolf; Neumann, Gerhard</x:v>
      </x:c>
      <x:c r="D49" t="n">
        <x:v>2025</x:v>
      </x:c>
      <x:c r="E49" t="str">
        <x:v>NeurIPS</x:v>
      </x:c>
      <x:c r="F49" t="str">
        <x:v>A</x:v>
      </x:c>
      <x:c r="G49" t="str">
        <x:v>Official Conference Paper</x:v>
      </x:c>
      <x:c r="H49" t="str">
        <x:v>Method Paper</x:v>
      </x:c>
      <x:c r="I49" t="str">
        <x:v>Robot Manipulation; Imitation Learning</x:v>
      </x:c>
      <x:c r="J49" t="str">
        <x:v>3D Manipulation / Multimodal Policy</x:v>
      </x:c>
      <x:c r="K49" t="str">
        <x:v>3D Manipulation / Multimodal Policy</x:v>
      </x:c>
      <x:c r="L49" t="e">
        <x:f>HYPERLINK("https://proceedings.neurips.cc/paper_files/paper/2025/hash/eacc8ae341d15d2c13c02fef88189db3-Abstract-Conference.html","论文")</x:f>
        <x:v>HYPERLINK is not implemented. linkLocation=https://proceedings.neurips.cc/paper_files/paper/2025/hash/eacc8ae341d15d2c13c02fef88189db3-Abstract-Conference.html, friendlyName=论文</x:v>
      </x:c>
      <x:c r="M49" t="e">
        <x:f>HYPERLINK("https://doi.org/10.52202/085713-5353","DOI")</x:f>
        <x:v>HYPERLINK is not implemented. linkLocation=https://doi.org/10.52202/085713-5353, friendlyName=DOI</x:v>
      </x:c>
      <x:c r="N49" t="str">
        <x:v>Unknown</x:v>
      </x:c>
      <x:c r="O49" t="str">
        <x:v>Unknown</x:v>
      </x:c>
      <x:c r="P49" t="str">
        <x:v>Unknown</x:v>
      </x:c>
      <x:c r="Q49" t="str">
        <x:v>Unknown</x:v>
      </x:c>
      <x:c r="R49" t="str">
        <x:v>Unknown</x:v>
      </x:c>
      <x:c r="S49" t="str">
        <x:v>Unknown</x:v>
      </x:c>
      <x:c r="T49" t="str">
        <x:v>Unknown</x:v>
      </x:c>
      <x:c r="U49" t="str">
        <x:v>Unknown</x:v>
      </x:c>
      <x:c r="V49" t="str">
        <x:v>Single Arm / Parallel Gripper</x:v>
      </x:c>
      <x:c r="W49" t="str">
        <x:v>Single Arm</x:v>
      </x:c>
      <x:c r="X49" t="str">
        <x:v>Parallel Gripper</x:v>
      </x:c>
      <x:c r="Y49" t="str">
        <x:v>Yes</x:v>
      </x:c>
      <x:c r="Z49" t="str">
        <x:v>Unknown</x:v>
      </x:c>
      <x:c r="AA49" t="str">
        <x:v>Unknown</x:v>
      </x:c>
      <x:c r="AB49" t="str">
        <x:v>Unknown</x:v>
      </x:c>
      <x:c r="AC49" t="str">
        <x:v>P0</x:v>
      </x:c>
      <x:c r="AD49" t="str">
        <x:v>Official proceedings verified; CCF A via user-provided CCF 7th-edition venue mapping</x:v>
      </x:c>
      <x:c r="AE49" t="str">
        <x:v>2026-09-19</x:v>
      </x:c>
      <x:c r="AF49" t="str">
        <x:v>Formal main-conference or official conference track record verified from the official proceedings page. Unchecked metadata remains Unknown.</x:v>
      </x:c>
      <x:c r="AG49" t="str">
        <x:v>CCF A Conference</x:v>
      </x:c>
      <x:c r="AH49" t="str">
        <x:v>Official Conference Paper</x:v>
      </x:c>
      <x:c r="AI49" t="str">
        <x:v>No</x:v>
      </x:c>
      <x:c r="AJ49" t="str">
        <x:v>02_Papers/06_Diffusion_Flow_IL_RL/PointMapPolicy.md</x:v>
      </x:c>
      <x:c r="AK49" t="str">
        <x:v>Strict CCF A</x:v>
      </x:c>
      <x:c r="AL49" t="str">
        <x:v>https://proceedings.neurips.cc/paper_files/paper/2025/hash/eacc8ae341d15d2c13c02fef88189db3-Abstract-Conference.html; official abstract/proceedings metadata</x:v>
      </x:c>
      <x:c r="AM49" t="str">
        <x:v>Abstract-level</x:v>
      </x:c>
      <x:c r="AN49" t="str">
        <x:v>3D Manipulation / Multimodal Policy</x:v>
      </x:c>
      <x:c r="AO49" t="str">
        <x:v>See canonical card Research Summary; generated only from official abstract-level evidence.</x:v>
      </x:c>
      <x:c r="AP49" t="str">
        <x:v>3D Manipulation / Multimodal Policy</x:v>
      </x:c>
      <x:c r="AQ49" t="str">
        <x:v>Real Robot=Yes; Dataset/Benchmark/Robot Platform retain Unknown when not verified.</x:v>
      </x:c>
      <x:c r="AR49" t="str">
        <x:v>** 与机器人操作、模仿学习或策略泛化相关；是否进入 L2/L3 取决于与双臂普通夹爪平台的可迁移性。</x:v>
      </x:c>
      <x:c r="AS49" t="str">
        <x:v>Project-stated CCF seventh-edition mapping; official row pending where noted</x:v>
      </x:c>
      <x:c r="AT49" t="str">
        <x:v>Diffusion / Flow / IL / RL</x:v>
      </x:c>
      <x:c r="AU49" t="n">
        <x:v>0</x:v>
      </x:c>
      <x:c r="AV49" t="str">
        <x:v>OpenAlex</x:v>
      </x:c>
      <x:c r="AW49" t="str">
        <x:v>2026-09-25</x:v>
      </x:c>
      <x:c r="AX49" t="str">
        <x:v>多种传感输入各有优势，如何保留点云中的局部几何信息。</x:v>
      </x:c>
      <x:c r="AY49" t="str">
        <x:v>Unknown / Needs Full-Paper Verification</x:v>
      </x:c>
      <x:c r="AZ49" t="str">
        <x:v>以 `3D Manipulation / Multimodal Policy` 为主要方法/能力线索；更细的结构和消融结论待正文核验。</x:v>
      </x:c>
      <x:c r="BA49" t="str">
        <x:v>RoboCasa、CALVIN 与真机评测。</x:v>
      </x:c>
      <x:c r="BB49" t="str">
        <x:v>Unknown / Needs Full-Paper Verification</x:v>
      </x:c>
      <x:c r="BC49" t="str">
        <x:v>- We introduce PointMapPolicy, a novel approach that conditions diffusion policies on structured grids of points without downsampling.</x:v>
      </x:c>
      <x:c r="BD49" t="str">
        <x:v>Real Robot 字段为 `Yes`；Dataset、Benchmark、Robot Platform 中的 Unknown 继续保留，不从题名推断。</x:v>
      </x:c>
      <x:c r="BE49" t="str">
        <x:v>论文报告在上述 benchmark 和真机任务中取得较好表现；具体数值见正文。</x:v>
      </x:c>
      <x:c r="BF49" t="str">
        <x:v>Unknown / Needs Full-Paper Verification</x:v>
      </x:c>
      <x:c r="BG49" t="str">
        <x:v>Library Analysis / Research Note: Unknown / Needs Full-Paper Verification</x:v>
      </x:c>
      <x:c r="BH49" t="str">
        <x:v>3D Manipulation / Multimodal Policy</x:v>
      </x:c>
      <x:c r="BI49" t="str">
        <x:v>B</x:v>
      </x:c>
      <x:c r="BJ49"/>
      <x:c r="BK49" t="str">
        <x:v>Unknown / Not Explicitly Reported in the currently accessible sources.</x:v>
      </x:c>
      <x:c r="BL49" t="str">
        <x:v>Unknown / Not Explicitly Reported in the currently accessible sources.</x:v>
      </x:c>
      <x:c r="BM49" t="str">
        <x:v>https://openalex.org/W4417082659</x:v>
      </x:c>
      <x:c r="BN49" t="str">
        <x:v>https://proceedings.neurips.cc/paper_files/paper/2025/hash/eacc8ae341d15d2c13c02fef88189db3-Abstract-Conference.html；官方摘要/论文集元数据</x:v>
      </x:c>
      <x:c r="BO49" t="str">
        <x:v>B-Code-Unverified</x:v>
      </x:c>
      <x:c r="BP49" t="str">
        <x:v>Not Found</x:v>
      </x:c>
      <x:c r="BQ49" t="str">
        <x:v>Unavailable</x:v>
      </x:c>
      <x:c r="BR49" t="str">
        <x:v>Unknown</x:v>
      </x:c>
      <x:c r="BS49" t="str">
        <x:v>https://proceedings.neurips.cc/paper_files/paper/2025/file/eacc8ae341d15d2c13c02fef88189db3-Paper-Conference.pdf</x:v>
      </x:c>
      <x:c r="BT49" t="str">
        <x:v>No</x:v>
      </x:c>
      <x:c r="BU49" t="str">
        <x:v>No</x:v>
      </x:c>
      <x:c r="BV49" t="str">
        <x:v>No</x:v>
      </x:c>
      <x:c r="BW49" t="str">
        <x:v>No</x:v>
      </x:c>
      <x:c r="BX49" t="str">
        <x:v>No</x:v>
      </x:c>
      <x:c r="BY49" t="str">
        <x:v>No</x:v>
      </x:c>
      <x:c r="BZ49" t="str">
        <x:v>No</x:v>
      </x:c>
      <x:c r="CA49" t="str">
        <x:v>Matched</x:v>
      </x:c>
      <x:c r="CB49" t="str">
        <x:v>Not Found After Verification</x:v>
      </x:c>
      <x:c r="CC49" t="str">
        <x:v>Not Found After Verification</x:v>
      </x:c>
      <x:c r="CD49" t="str">
        <x:v>Audit logged - deep extraction pending</x:v>
      </x:c>
      <x:c r="CE49" t="str">
        <x:v>false</x:v>
      </x:c>
      <x:c r="CF49"/>
      <x:c r="CG49" t="str">
        <x:v>研究问题：多种传感输入各有优势，如何保留点云中的局部几何信息。；之前方法的问题：点云下采样可能丢掉接触附近的关键结构。；核心思路：PointMapPolicy 把结构化点网格作为扩散策略条件，减少对大幅下采样的依赖。；数据集与评测基准：RoboCasa、CALVIN 与真机评测。；主要结果：论文报告在上述 benchmark 和真机任务中取得较好表现；具体数值见正文。；为什么重要：有助于研究普通夹爪接触区域的三维表示。；与当前项目的关系：Medium：双臂空间定位相关，部署延迟需验证。；主要局限：高密度点数据会增加显存与在线计算成本。</x:v>
      </x:c>
      <x:c r="CH49" t="str">
        <x:v>点云下采样可能丢掉接触附近的关键结构。</x:v>
      </x:c>
      <x:c r="CI49" t="str">
        <x:v>PointMapPolicy 把结构化点网格作为扩散策略条件，减少对大幅下采样的依赖。</x:v>
      </x:c>
      <x:c r="CJ49"/>
      <x:c r="CK49" t="str">
        <x:v>论文报告在上述 benchmark 和真机任务中取得较好表现；具体数值见正文。</x:v>
      </x:c>
      <x:c r="CL49" t="str">
        <x:v>有助于研究普通夹爪接触区域的三维表示。</x:v>
      </x:c>
      <x:c r="CM49" t="str">
        <x:v>高密度点数据会增加显存与在线计算成本。</x:v>
      </x:c>
      <x:c r="CN49"/>
      <x:c r="CO49" t="str">
        <x:v>Medium：双臂空间定位相关，部署延迟需验证。</x:v>
      </x:c>
      <x:c r="CP49" t="str">
        <x:v>官方摘要/论文页; https://proceedings.neurips.cc/paper_files/paper/2025/hash/eacc8ae341d15d2c13c02fef88189db3-Abstract-Conference.html; 核验于 2026-09-23. 仅为摘要级速读；原 Evidence Quality 不变。 - 核验层级：摘要有可追溯来源</x:v>
      </x:c>
      <x:c r="CQ49" t="str">
        <x:v>doi</x:v>
      </x:c>
      <x:c r="CR49" t="n">
        <x:v>0</x:v>
      </x:c>
      <x:c r="CS49" t="n">
        <x:v>0</x:v>
      </x:c>
    </x:row>
    <x:row r="50" ht="58" customHeight="1">
      <x:c r="A50" t="str">
        <x:v>A049</x:v>
      </x:c>
      <x:c r="B50" t="str">
        <x:v>Robo2VLM: Improving Visual Question Answering using Large-Scale Robot Manipulation Data</x:v>
      </x:c>
      <x:c r="C50" t="str">
        <x:v>Chen, Kaiyuan Eric; Xie, Shuangyu; Ma, Zehan; Sanketi, Pannag ; Goldberg, Ken</x:v>
      </x:c>
      <x:c r="D50" t="n">
        <x:v>2025</x:v>
      </x:c>
      <x:c r="E50" t="str">
        <x:v>NeurIPS</x:v>
      </x:c>
      <x:c r="F50" t="str">
        <x:v>A</x:v>
      </x:c>
      <x:c r="G50" t="str">
        <x:v>Official Conference Paper</x:v>
      </x:c>
      <x:c r="H50" t="str">
        <x:v>Dataset / Benchmark</x:v>
      </x:c>
      <x:c r="I50" t="str">
        <x:v>Dataset / Benchmark; Robot Manipulation</x:v>
      </x:c>
      <x:c r="J50" t="str">
        <x:v>Robot Data / Spatial Reasoning</x:v>
      </x:c>
      <x:c r="K50" t="str">
        <x:v>Robot Data / Spatial Reasoning</x:v>
      </x:c>
      <x:c r="L50" t="e">
        <x:f>HYPERLINK("https://proceedings.neurips.cc/paper_files/paper/2025/hash/1f467c3e37abf9f86c78f44c6a27ee7c-Abstract-Datasets_and_Benchmarks_Track.html","论文")</x:f>
        <x:v>HYPERLINK is not implemented. linkLocation=https://proceedings.neurips.cc/paper_files/paper/2025/hash/1f467c3e37abf9f86c78f44c6a27ee7c-Abstract-Datasets_and_Benchmarks_Track.html, friendlyName=论文</x:v>
      </x:c>
      <x:c r="M50" t="e">
        <x:f>HYPERLINK("https://doi.org/10.52202/085713-0733","DOI")</x:f>
        <x:v>HYPERLINK is not implemented. linkLocation=https://doi.org/10.52202/085713-0733, friendlyName=DOI</x:v>
      </x:c>
      <x:c r="N50" t="str">
        <x:v>Unknown</x:v>
      </x:c>
      <x:c r="O50" t="str">
        <x:v>Unknown</x:v>
      </x:c>
      <x:c r="P50" t="str">
        <x:v>Unknown</x:v>
      </x:c>
      <x:c r="Q50" t="str">
        <x:v>Unknown</x:v>
      </x:c>
      <x:c r="R50" t="str">
        <x:v>Unknown</x:v>
      </x:c>
      <x:c r="S50" t="str">
        <x:v>Unknown</x:v>
      </x:c>
      <x:c r="T50" t="str">
        <x:v>Unknown</x:v>
      </x:c>
      <x:c r="U50" t="str">
        <x:v>Unknown</x:v>
      </x:c>
      <x:c r="V50" t="str">
        <x:v>Multi-Embodiment</x:v>
      </x:c>
      <x:c r="W50" t="str">
        <x:v>Unknown</x:v>
      </x:c>
      <x:c r="X50" t="str">
        <x:v>Unknown</x:v>
      </x:c>
      <x:c r="Y50" t="str">
        <x:v>Yes</x:v>
      </x:c>
      <x:c r="Z50" t="str">
        <x:v>Unknown</x:v>
      </x:c>
      <x:c r="AA50" t="str">
        <x:v>Unknown</x:v>
      </x:c>
      <x:c r="AB50" t="str">
        <x:v>Unknown</x:v>
      </x:c>
      <x:c r="AC50" t="str">
        <x:v>P1</x:v>
      </x:c>
      <x:c r="AD50" t="str">
        <x:v>Official proceedings verified; CCF A via user-provided CCF 7th-edition venue mapping</x:v>
      </x:c>
      <x:c r="AE50" t="str">
        <x:v>2026-09-19</x:v>
      </x:c>
      <x:c r="AF50" t="str">
        <x:v>Formal main-conference or official conference track record verified from the official proceedings page. Unchecked metadata remains Unknown.</x:v>
      </x:c>
      <x:c r="AG50" t="str">
        <x:v>CCF A Conference</x:v>
      </x:c>
      <x:c r="AH50" t="str">
        <x:v>Official Conference Paper</x:v>
      </x:c>
      <x:c r="AI50" t="str">
        <x:v>No</x:v>
      </x:c>
      <x:c r="AJ50" t="str">
        <x:v>02_Papers/08_Data_Teleoperation/Robo2VLM.md</x:v>
      </x:c>
      <x:c r="AK50" t="str">
        <x:v>Strict CCF A</x:v>
      </x:c>
      <x:c r="AL50" t="str">
        <x:v>https://proceedings.neurips.cc/paper_files/paper/2025/hash/1f467c3e37abf9f86c78f44c6a27ee7c-Abstract-Datasets_and_Benchmarks_Track.html; official abstract/proceedings metadata</x:v>
      </x:c>
      <x:c r="AM50" t="str">
        <x:v>Abstract-level</x:v>
      </x:c>
      <x:c r="AN50" t="str">
        <x:v>Robot Data / Spatial Reasoning</x:v>
      </x:c>
      <x:c r="AO50" t="str">
        <x:v>See canonical card Research Summary; generated only from official abstract-level evidence.</x:v>
      </x:c>
      <x:c r="AP50" t="str">
        <x:v>Robot Data / Spatial Reasoning</x:v>
      </x:c>
      <x:c r="AQ50" t="str">
        <x:v>Real Robot=Yes; Dataset/Benchmark/Robot Platform retain Unknown when not verified.</x:v>
      </x:c>
      <x:c r="AR50" t="str">
        <x:v>** 与机器人操作、模仿学习或策略泛化相关；是否进入 L2/L3 取决于与双臂普通夹爪平台的可迁移性。</x:v>
      </x:c>
      <x:c r="AS50" t="str">
        <x:v>Project-stated CCF seventh-edition mapping; official row pending where noted</x:v>
      </x:c>
      <x:c r="AT50" t="str">
        <x:v>Data / Teleoperation</x:v>
      </x:c>
      <x:c r="AU50" t="n">
        <x:v>9</x:v>
      </x:c>
      <x:c r="AV50" t="str">
        <x:v>Semantic Scholar</x:v>
      </x:c>
      <x:c r="AW50" t="str">
        <x:v>2026-09-25</x:v>
      </x:c>
      <x:c r="AX50" t="str">
        <x:v>互联网图文训练的 VLM 缺少机器人特定的视觉与操作知识。</x:v>
      </x:c>
      <x:c r="AY50" t="str">
        <x:v>Unknown / Needs Full-Paper Verification</x:v>
      </x:c>
      <x:c r="AZ50" t="str">
        <x:v>以 `Robot Data / Spatial Reasoning` 为主要方法/能力线索；更细的结构和消融结论待正文核验。</x:v>
      </x:c>
      <x:c r="BA50" t="str">
        <x:v>已核验摘要未明确说明；需查阅论文方法与实验章节。</x:v>
      </x:c>
      <x:c r="BB50" t="str">
        <x:v>Unknown / Needs Full-Paper Verification</x:v>
      </x:c>
      <x:c r="BC50" t="str">
        <x:v>- In this paper, we present Robo2VLM, a Visual Question Answering (VQA) dataset generation framework for VLMs.</x:v>
      </x:c>
      <x:c r="BD50" t="str">
        <x:v>Real Robot 字段为 `Yes`；Dataset、Benchmark、Robot Platform 中的 Unknown 继续保留，不从题名推断。</x:v>
      </x:c>
      <x:c r="BE50" t="str">
        <x:v>已核验摘要未给可安全复述的统一量化结果。</x:v>
      </x:c>
      <x:c r="BF50" t="str">
        <x:v>Unknown / Needs Full-Paper Verification</x:v>
      </x:c>
      <x:c r="BG50" t="str">
        <x:v>Library Analysis / Research Note: Unknown / Needs Full-Paper Verification</x:v>
      </x:c>
      <x:c r="BH50" t="str">
        <x:v>Robot Data / Spatial Reasoning</x:v>
      </x:c>
      <x:c r="BI50" t="str">
        <x:v>B</x:v>
      </x:c>
      <x:c r="BJ50"/>
      <x:c r="BK50" t="str">
        <x:v>Unknown / Not Explicitly Reported in the currently accessible sources.</x:v>
      </x:c>
      <x:c r="BL50" t="str">
        <x:v>Unknown / Not Explicitly Reported in the currently accessible sources.</x:v>
      </x:c>
      <x:c r="BM50" t="str">
        <x:v>https://www.semanticscholar.org/paper/afeff85d95e5428eb0a36dbc58446ce42e686d1d</x:v>
      </x:c>
      <x:c r="BN50" t="str">
        <x:v>https://proceedings.neurips.cc/paper_files/paper/2025/hash/1f467c3e37abf9f86c78f44c6a27ee7c-Abstract-Datasets_and_Benchmarks_Track.html；官方摘要/论文集元数据</x:v>
      </x:c>
      <x:c r="BO50" t="str">
        <x:v>B-Code-Unverified</x:v>
      </x:c>
      <x:c r="BP50" t="str">
        <x:v>Not Found</x:v>
      </x:c>
      <x:c r="BQ50" t="str">
        <x:v>Unavailable</x:v>
      </x:c>
      <x:c r="BR50" t="str">
        <x:v>Unknown</x:v>
      </x:c>
      <x:c r="BS50" t="str">
        <x:v>https://proceedings.neurips.cc/paper_files/paper/2025/file/1f467c3e37abf9f86c78f44c6a27ee7c-Paper-Datasets_and_Benchmarks_Track.pdf</x:v>
      </x:c>
      <x:c r="BT50" t="str">
        <x:v>No</x:v>
      </x:c>
      <x:c r="BU50" t="str">
        <x:v>No</x:v>
      </x:c>
      <x:c r="BV50" t="str">
        <x:v>No</x:v>
      </x:c>
      <x:c r="BW50" t="str">
        <x:v>No</x:v>
      </x:c>
      <x:c r="BX50" t="str">
        <x:v>No</x:v>
      </x:c>
      <x:c r="BY50" t="str">
        <x:v>No</x:v>
      </x:c>
      <x:c r="BZ50" t="str">
        <x:v>No</x:v>
      </x:c>
      <x:c r="CA50" t="str">
        <x:v>Matched</x:v>
      </x:c>
      <x:c r="CB50" t="str">
        <x:v>Not Found After Verification</x:v>
      </x:c>
      <x:c r="CC50" t="str">
        <x:v>Not Found After Verification</x:v>
      </x:c>
      <x:c r="CD50" t="str">
        <x:v>Audit logged - deep extraction pending</x:v>
      </x:c>
      <x:c r="CE50" t="str">
        <x:v>false</x:v>
      </x:c>
      <x:c r="CF50"/>
      <x:c r="CG50" t="str">
        <x:v>研究问题：互联网图文训练的 VLM 缺少机器人特定的视觉与操作知识。；之前方法的问题：通用问答数据不一定包含机器人动作和物体可操作性。；核心思路：Robo2VLM 构建机器人相关 VQA 数据，用于训练或评估 VLM 的具身理解。；主要结果：已核验摘要未给可安全复述的统一量化结果。；为什么重要：可辅助检查 VLA 的语言/视觉前端是否理解机器人场景。；与当前项目的关系：Medium：问答能力与真机动作成功要分开评测。；主要局限：VQA 指标不能直接代表可执行动作质量。</x:v>
      </x:c>
      <x:c r="CH50" t="str">
        <x:v>通用问答数据不一定包含机器人动作和物体可操作性。</x:v>
      </x:c>
      <x:c r="CI50" t="str">
        <x:v>Robo2VLM 构建机器人相关 VQA 数据，用于训练或评估 VLM 的具身理解。</x:v>
      </x:c>
      <x:c r="CJ50"/>
      <x:c r="CK50" t="str">
        <x:v>已核验摘要未给可安全复述的统一量化结果。</x:v>
      </x:c>
      <x:c r="CL50" t="str">
        <x:v>可辅助检查 VLA 的语言/视觉前端是否理解机器人场景。</x:v>
      </x:c>
      <x:c r="CM50" t="str">
        <x:v>VQA 指标不能直接代表可执行动作质量。</x:v>
      </x:c>
      <x:c r="CN50"/>
      <x:c r="CO50" t="str">
        <x:v>Medium：问答能力与真机动作成功要分开评测。</x:v>
      </x:c>
      <x:c r="CP50" t="str">
        <x:v>官方摘要/论文页; https://proceedings.neurips.cc/paper_files/paper/2025/hash/1f467c3e37abf9f86c78f44c6a27ee7c-Abstract-Datasets_and_Benchmarks_Track.html; 核验于 2026-09-23. 仅为摘要级速读；原 Evidence Quality 不变。 - 核验层级：摘要有可追溯来源</x:v>
      </x:c>
      <x:c r="CQ50" t="str">
        <x:v>doi</x:v>
      </x:c>
      <x:c r="CR50" t="n">
        <x:v>0</x:v>
      </x:c>
      <x:c r="CS50" t="n">
        <x:v>1</x:v>
      </x:c>
    </x:row>
    <x:row r="51" ht="58" customHeight="1">
      <x:c r="A51" t="str">
        <x:v>A050</x:v>
      </x:c>
      <x:c r="B51" t="str">
        <x:v>UniDomain: Pretraining a Unified PDDL Domain from Real-World Demonstrations for Generalizable Robot Task Planning</x:v>
      </x:c>
      <x:c r="C51" t="str">
        <x:v>Ye, Haoming; Xiao, Yunxiao; Lu, Cewu; Cai, Panpan</x:v>
      </x:c>
      <x:c r="D51" t="n">
        <x:v>2025</x:v>
      </x:c>
      <x:c r="E51" t="str">
        <x:v>NeurIPS</x:v>
      </x:c>
      <x:c r="F51" t="str">
        <x:v>A</x:v>
      </x:c>
      <x:c r="G51" t="str">
        <x:v>Official Conference Paper</x:v>
      </x:c>
      <x:c r="H51" t="str">
        <x:v>Method Paper</x:v>
      </x:c>
      <x:c r="I51" t="str">
        <x:v>Robot Manipulation; Generalization</x:v>
      </x:c>
      <x:c r="J51" t="str">
        <x:v>Task Planning / Demonstrations</x:v>
      </x:c>
      <x:c r="K51" t="str">
        <x:v>Task Planning / Demonstrations</x:v>
      </x:c>
      <x:c r="L51" t="e">
        <x:f>HYPERLINK("https://proceedings.neurips.cc/paper_files/paper/2025/hash/b8358a00e5b870194b974ddf8dd415c3-Abstract-Conference.html","论文")</x:f>
        <x:v>HYPERLINK is not implemented. linkLocation=https://proceedings.neurips.cc/paper_files/paper/2025/hash/b8358a00e5b870194b974ddf8dd415c3-Abstract-Conference.html, friendlyName=论文</x:v>
      </x:c>
      <x:c r="M51" t="e">
        <x:f>HYPERLINK("https://doi.org/10.52202/085713-4226","DOI")</x:f>
        <x:v>HYPERLINK is not implemented. linkLocation=https://doi.org/10.52202/085713-4226, friendlyName=DOI</x:v>
      </x:c>
      <x:c r="N51" t="str">
        <x:v>Unknown</x:v>
      </x:c>
      <x:c r="O51" t="str">
        <x:v>Unknown</x:v>
      </x:c>
      <x:c r="P51" t="str">
        <x:v>Unknown</x:v>
      </x:c>
      <x:c r="Q51" t="str">
        <x:v>Unknown</x:v>
      </x:c>
      <x:c r="R51" t="str">
        <x:v>Unknown</x:v>
      </x:c>
      <x:c r="S51" t="str">
        <x:v>Unknown</x:v>
      </x:c>
      <x:c r="T51" t="str">
        <x:v>Unknown</x:v>
      </x:c>
      <x:c r="U51" t="str">
        <x:v>Unknown</x:v>
      </x:c>
      <x:c r="V51" t="str">
        <x:v>Single Arm / Parallel Gripper</x:v>
      </x:c>
      <x:c r="W51" t="str">
        <x:v>Single Arm</x:v>
      </x:c>
      <x:c r="X51" t="str">
        <x:v>Parallel Gripper</x:v>
      </x:c>
      <x:c r="Y51" t="str">
        <x:v>Yes</x:v>
      </x:c>
      <x:c r="Z51" t="str">
        <x:v>Unknown</x:v>
      </x:c>
      <x:c r="AA51" t="str">
        <x:v>Unknown</x:v>
      </x:c>
      <x:c r="AB51" t="str">
        <x:v>Unknown</x:v>
      </x:c>
      <x:c r="AC51" t="str">
        <x:v>P1</x:v>
      </x:c>
      <x:c r="AD51" t="str">
        <x:v>Official proceedings verified; CCF A via user-provided CCF 7th-edition venue mapping</x:v>
      </x:c>
      <x:c r="AE51" t="str">
        <x:v>2026-09-19</x:v>
      </x:c>
      <x:c r="AF51" t="str">
        <x:v>Formal main-conference or official conference track record verified from the official proceedings page. Unchecked metadata remains Unknown.</x:v>
      </x:c>
      <x:c r="AG51" t="str">
        <x:v>CCF A Conference</x:v>
      </x:c>
      <x:c r="AH51" t="str">
        <x:v>Official Conference Paper</x:v>
      </x:c>
      <x:c r="AI51" t="str">
        <x:v>No</x:v>
      </x:c>
      <x:c r="AJ51" t="str">
        <x:v>02_Papers/07_Generalization_LongHorizon/UniDomain.md</x:v>
      </x:c>
      <x:c r="AK51" t="str">
        <x:v>Strict CCF A</x:v>
      </x:c>
      <x:c r="AL51" t="str">
        <x:v>https://proceedings.neurips.cc/paper_files/paper/2025/hash/b8358a00e5b870194b974ddf8dd415c3-Abstract-Conference.html; official abstract/proceedings metadata</x:v>
      </x:c>
      <x:c r="AM51" t="str">
        <x:v>Abstract-level</x:v>
      </x:c>
      <x:c r="AN51" t="str">
        <x:v>Task Planning / Demonstrations</x:v>
      </x:c>
      <x:c r="AO51" t="str">
        <x:v>See canonical card Research Summary; generated only from official abstract-level evidence.</x:v>
      </x:c>
      <x:c r="AP51" t="str">
        <x:v>Task Planning / Demonstrations</x:v>
      </x:c>
      <x:c r="AQ51" t="str">
        <x:v>Real Robot=Yes; Dataset/Benchmark/Robot Platform retain Unknown when not verified.</x:v>
      </x:c>
      <x:c r="AR51" t="str">
        <x:v>** 与机器人操作、模仿学习或策略泛化相关；是否进入 L2/L3 取决于与双臂普通夹爪平台的可迁移性。</x:v>
      </x:c>
      <x:c r="AS51" t="str">
        <x:v>Project-stated CCF seventh-edition mapping; official row pending where noted</x:v>
      </x:c>
      <x:c r="AT51" t="str">
        <x:v>Generalization / Long-Horizon</x:v>
      </x:c>
      <x:c r="AU51" t="n">
        <x:v>8</x:v>
      </x:c>
      <x:c r="AV51" t="str">
        <x:v>Semantic Scholar</x:v>
      </x:c>
      <x:c r="AW51" t="str">
        <x:v>2026-09-25</x:v>
      </x:c>
      <x:c r="AX51" t="str">
        <x:v>真实机器人规划要理解语言和视觉中没有明说的约束。</x:v>
      </x:c>
      <x:c r="AY51" t="str">
        <x:v>Unknown / Needs Full-Paper Verification</x:v>
      </x:c>
      <x:c r="AZ51" t="str">
        <x:v>以 `Task Planning / Demonstrations` 为主要方法/能力线索；更细的结构和消融结论待正文核验。</x:v>
      </x:c>
      <x:c r="BA51" t="str">
        <x:v>已核验摘要未明确说明；需查阅论文方法与实验章节。</x:v>
      </x:c>
      <x:c r="BB51" t="str">
        <x:v>Unknown / Needs Full-Paper Verification</x:v>
      </x:c>
      <x:c r="BC51" t="str">
        <x:v>- We propose UniDomain, a framework that pre-trains a PDDL domain from robot manipulation demonstrations and applies it for online robotic task planning.</x:v>
      </x:c>
      <x:c r="BD51" t="str">
        <x:v>Real Robot 字段为 `Yes`；Dataset、Benchmark、Robot Platform 中的 Unknown 继续保留，不从题名推断。</x:v>
      </x:c>
      <x:c r="BE51" t="str">
        <x:v>作者报告在多项真实任务中解决未见复杂任务；具体成功率见论文。</x:v>
      </x:c>
      <x:c r="BF51" t="str">
        <x:v>Unknown / Needs Full-Paper Verification</x:v>
      </x:c>
      <x:c r="BG51" t="str">
        <x:v>Library Analysis / Research Note: Unknown / Needs Full-Paper Verification</x:v>
      </x:c>
      <x:c r="BH51" t="str">
        <x:v>Task Planning / Demonstrations</x:v>
      </x:c>
      <x:c r="BI51" t="str">
        <x:v>B</x:v>
      </x:c>
      <x:c r="BJ51"/>
      <x:c r="BK51" t="str">
        <x:v>Unknown / Not Explicitly Reported in the currently accessible sources.</x:v>
      </x:c>
      <x:c r="BL51" t="str">
        <x:v>Unknown / Not Explicitly Reported in the currently accessible sources.</x:v>
      </x:c>
      <x:c r="BM51" t="str">
        <x:v>https://www.semanticscholar.org/paper/31feae9cc3d888b85e1cba366c79b2c50f29c2b3</x:v>
      </x:c>
      <x:c r="BN51" t="str">
        <x:v>https://proceedings.neurips.cc/paper_files/paper/2025/hash/b8358a00e5b870194b974ddf8dd415c3-Abstract-Conference.html；官方摘要/论文集元数据</x:v>
      </x:c>
      <x:c r="BO51" t="str">
        <x:v>B-Code-Unverified</x:v>
      </x:c>
      <x:c r="BP51" t="str">
        <x:v>Not Found</x:v>
      </x:c>
      <x:c r="BQ51" t="str">
        <x:v>Unavailable</x:v>
      </x:c>
      <x:c r="BR51" t="str">
        <x:v>Unknown</x:v>
      </x:c>
      <x:c r="BS51" t="str">
        <x:v>https://proceedings.neurips.cc/paper_files/paper/2025/file/b8358a00e5b870194b974ddf8dd415c3-Paper-Conference.pdf</x:v>
      </x:c>
      <x:c r="BT51" t="str">
        <x:v>No</x:v>
      </x:c>
      <x:c r="BU51" t="str">
        <x:v>No</x:v>
      </x:c>
      <x:c r="BV51" t="str">
        <x:v>No</x:v>
      </x:c>
      <x:c r="BW51" t="str">
        <x:v>No</x:v>
      </x:c>
      <x:c r="BX51" t="str">
        <x:v>No</x:v>
      </x:c>
      <x:c r="BY51" t="str">
        <x:v>No</x:v>
      </x:c>
      <x:c r="BZ51" t="str">
        <x:v>No</x:v>
      </x:c>
      <x:c r="CA51" t="str">
        <x:v>Matched</x:v>
      </x:c>
      <x:c r="CB51" t="str">
        <x:v>Not Found After Verification</x:v>
      </x:c>
      <x:c r="CC51" t="str">
        <x:v>Not Found After Verification</x:v>
      </x:c>
      <x:c r="CD51" t="str">
        <x:v>Audit logged - deep extraction pending</x:v>
      </x:c>
      <x:c r="CE51" t="str">
        <x:v>false</x:v>
      </x:c>
      <x:c r="CF51"/>
      <x:c r="CG51" t="str">
        <x:v>研究问题：真实机器人规划要理解语言和视觉中没有明说的约束。；之前方法的问题：人工写 PDDL 领域规则成本高，面对未见任务又易遗漏条件。；核心思路：UniDomain 从机器人示范中预训练 PDDL domain，再用于零样本任务规划。；主要结果：作者报告在多项真实任务中解决未见复杂任务；具体成功率见论文。；为什么重要：为从示范自动获得可解释规划约束提供方法。；与当前项目的关系：Medium：可帮助双臂任务定义前提与执行检查。；主要局限：推断的规则若不准确，计划可能在真机接触时失败。</x:v>
      </x:c>
      <x:c r="CH51" t="str">
        <x:v>人工写 PDDL 领域规则成本高，面对未见任务又易遗漏条件。</x:v>
      </x:c>
      <x:c r="CI51" t="str">
        <x:v>UniDomain 从机器人示范中预训练 PDDL domain，再用于零样本任务规划。</x:v>
      </x:c>
      <x:c r="CJ51"/>
      <x:c r="CK51" t="str">
        <x:v>作者报告在多项真实任务中解决未见复杂任务；具体成功率见论文。</x:v>
      </x:c>
      <x:c r="CL51" t="str">
        <x:v>为从示范自动获得可解释规划约束提供方法。</x:v>
      </x:c>
      <x:c r="CM51" t="str">
        <x:v>推断的规则若不准确，计划可能在真机接触时失败。</x:v>
      </x:c>
      <x:c r="CN51"/>
      <x:c r="CO51" t="str">
        <x:v>Medium：可帮助双臂任务定义前提与执行检查。</x:v>
      </x:c>
      <x:c r="CP51" t="str">
        <x:v>官方摘要/论文页; https://proceedings.neurips.cc/paper_files/paper/2025/hash/b8358a00e5b870194b974ddf8dd415c3-Abstract-Conference.html; 核验于 2026-09-23. 仅为摘要级速读；原 Evidence Quality 不变。 - 核验层级：摘要有可追溯来源</x:v>
      </x:c>
      <x:c r="CQ51" t="str">
        <x:v>doi</x:v>
      </x:c>
      <x:c r="CR51" t="n">
        <x:v>0</x:v>
      </x:c>
      <x:c r="CS51" t="n">
        <x:v>0</x:v>
      </x:c>
    </x:row>
    <x:row r="52" ht="58" customHeight="1">
      <x:c r="A52" t="str">
        <x:v>A051</x:v>
      </x:c>
      <x:c r="B52" t="str">
        <x:v>DexH2R: A Benchmark for Dynamic Dexterous Grasping in Human-to-Robot Handover</x:v>
      </x:c>
      <x:c r="C52" t="str">
        <x:v>Wang, Youzhuo; Ye, Jiayi; Xiao, Chuyang; Zhong, Yiming; Tao, Heng; Yu, Hang; Liu, Yumeng; Yu, Jingyi; Ma, Yuexin</x:v>
      </x:c>
      <x:c r="D52" t="n">
        <x:v>2025</x:v>
      </x:c>
      <x:c r="E52" t="str">
        <x:v>ICCV</x:v>
      </x:c>
      <x:c r="F52" t="str">
        <x:v>A</x:v>
      </x:c>
      <x:c r="G52" t="str">
        <x:v>Official Conference Paper</x:v>
      </x:c>
      <x:c r="H52" t="str">
        <x:v>Dataset / Benchmark</x:v>
      </x:c>
      <x:c r="I52" t="str">
        <x:v>Dexterous Manipulation; Dataset / Benchmark</x:v>
      </x:c>
      <x:c r="J52" t="str">
        <x:v>Human-to-Robot Handover / Teleoperation</x:v>
      </x:c>
      <x:c r="K52" t="str">
        <x:v>Unknown</x:v>
      </x:c>
      <x:c r="L52" t="e">
        <x:f>HYPERLINK("https://openaccess.thecvf.com/content/ICCV2025/html/Wang_DexH2R_A_Benchmark_for_Dynamic_Dexterous_Grasping_in_Human-to-Robot_Handover_ICCV_2025_paper.html","论文")</x:f>
        <x:v>HYPERLINK is not implemented. linkLocation=https://openaccess.thecvf.com/content/ICCV2025/html/Wang_DexH2R_A_Benchmark_for_Dynamic_Dexterous_Grasping_in_Human-to-Robot_Handover_ICCV_2025_paper.html, friendlyName=论文</x:v>
      </x:c>
      <x:c r="M52" t="str">
        <x:v>Unknown</x:v>
      </x:c>
      <x:c r="N52" t="str">
        <x:v>Unknown</x:v>
      </x:c>
      <x:c r="O52" t="e">
        <x:f>HYPERLINK("https://dexh2r.github.io","Project")</x:f>
        <x:v>HYPERLINK is not implemented. linkLocation=https://dexh2r.github.io, friendlyName=Project</x:v>
      </x:c>
      <x:c r="P52" t="str">
        <x:v>Unknown</x:v>
      </x:c>
      <x:c r="Q52" t="str">
        <x:v>Unknown</x:v>
      </x:c>
      <x:c r="R52" t="str">
        <x:v>Unknown</x:v>
      </x:c>
      <x:c r="S52" t="str">
        <x:v>Unknown</x:v>
      </x:c>
      <x:c r="T52" t="str">
        <x:v>Unknown</x:v>
      </x:c>
      <x:c r="U52" t="str">
        <x:v>Unknown</x:v>
      </x:c>
      <x:c r="V52" t="str">
        <x:v>Dexterous Hand</x:v>
      </x:c>
      <x:c r="W52" t="str">
        <x:v>Unknown</x:v>
      </x:c>
      <x:c r="X52" t="str">
        <x:v>Dexterous Hand</x:v>
      </x:c>
      <x:c r="Y52" t="str">
        <x:v>Yes</x:v>
      </x:c>
      <x:c r="Z52" t="str">
        <x:v>Unknown</x:v>
      </x:c>
      <x:c r="AA52" t="str">
        <x:v>Unknown</x:v>
      </x:c>
      <x:c r="AB52" t="str">
        <x:v>Unknown</x:v>
      </x:c>
      <x:c r="AC52" t="str">
        <x:v>P0</x:v>
      </x:c>
      <x:c r="AD52" t="str">
        <x:v>Official proceedings verified; CCF A via user-provided CCF 7th-edition venue mapping</x:v>
      </x:c>
      <x:c r="AE52" t="str">
        <x:v>2026-09-19</x:v>
      </x:c>
      <x:c r="AF52" t="str">
        <x:v>Formal main-conference paper verified from official proceedings. Unchecked metadata remains Unknown.</x:v>
      </x:c>
      <x:c r="AG52" t="str">
        <x:v>CCF A Conference</x:v>
      </x:c>
      <x:c r="AH52" t="str">
        <x:v>Official Conference Paper</x:v>
      </x:c>
      <x:c r="AI52" t="str">
        <x:v>No</x:v>
      </x:c>
      <x:c r="AJ52" t="str">
        <x:v>02_Papers/10_Benchmark_Dataset/DexH2R.md</x:v>
      </x:c>
      <x:c r="AK52" t="str">
        <x:v>Strict CCF A</x:v>
      </x:c>
      <x:c r="AL52" t="str">
        <x:v>https://openaccess.thecvf.com/content/ICCV2025/html/Wang_DexH2R_A_Benchmark_for_Dynamic_Dexterous_Grasping_in_Human-to-Robot_Handover_ICCV_2025_paper.html; official abstract/proceedings metadata</x:v>
      </x:c>
      <x:c r="AM52" t="str">
        <x:v>Abstract-level</x:v>
      </x:c>
      <x:c r="AN52" t="str">
        <x:v>Human-to-Robot Handover / Teleoperation</x:v>
      </x:c>
      <x:c r="AO52" t="str">
        <x:v>See canonical card Research Summary; generated only from official abstract-level evidence.</x:v>
      </x:c>
      <x:c r="AP52" t="str">
        <x:v>Unknown</x:v>
      </x:c>
      <x:c r="AQ52" t="str">
        <x:v>Real Robot=Yes; Dataset/Benchmark/Robot Platform retain Unknown when not verified.</x:v>
      </x:c>
      <x:c r="AR52" t="str">
        <x:v>** 对灵巧操作扩展有参考价值；当前普通夹爪主线需区分可迁移的学习方法与依赖多指硬件的部分。</x:v>
      </x:c>
      <x:c r="AS52" t="str">
        <x:v>Project-stated CCF seventh-edition mapping; official row pending where noted</x:v>
      </x:c>
      <x:c r="AT52" t="str">
        <x:v>Benchmark / Dataset</x:v>
      </x:c>
      <x:c r="AU52" t="str">
        <x:v>—</x:v>
      </x:c>
      <x:c r="AV52" t="str">
        <x:v>未可靠匹配</x:v>
      </x:c>
      <x:c r="AW52" t="str">
        <x:v>2026-09-25</x:v>
      </x:c>
      <x:c r="AX52" t="str">
        <x:v>人向灵巧手机器人递交物体时，动态抓取需要兼顾时机和接触稳定性。</x:v>
      </x:c>
      <x:c r="AY52" t="str">
        <x:v>Unknown / Needs Full-Paper Verification</x:v>
      </x:c>
      <x:c r="AZ52" t="str">
        <x:v>以 `Unknown` 为主要方法/能力线索；更细的结构和消融结论待正文核验。</x:v>
      </x:c>
      <x:c r="BA52" t="str">
        <x:v>DexH2R 人机交接数据集；具体样本规模与指标需查正文。</x:v>
      </x:c>
      <x:c r="BB52" t="str">
        <x:v>Unknown / Needs Full-Paper Verification</x:v>
      </x:c>
      <x:c r="BC52" t="str">
        <x:v>- In this paper, we introduce DexH2R, a comprehensive real-world dataset for human-to-robot handovers, built on a dexterous robotic hand.</x:v>
      </x:c>
      <x:c r="BD52" t="str">
        <x:v>Real Robot 字段为 `Yes`；Dataset、Benchmark、Robot Platform 中的 Unknown 继续保留，不从题名推断。</x:v>
      </x:c>
      <x:c r="BE52" t="str">
        <x:v>Unknown / Needs Full-Paper Verification</x:v>
      </x:c>
      <x:c r="BF52" t="str">
        <x:v>Unknown / Needs Full-Paper Verification</x:v>
      </x:c>
      <x:c r="BG52" t="str">
        <x:v>Library Analysis / Research Note: Unknown / Needs Full-Paper Verification</x:v>
      </x:c>
      <x:c r="BH52" t="str">
        <x:v>Unknown</x:v>
      </x:c>
      <x:c r="BI52" t="str">
        <x:v>B</x:v>
      </x:c>
      <x:c r="BJ52"/>
      <x:c r="BK52" t="str">
        <x:v>Unknown / Not Explicitly Reported in the currently accessible sources.</x:v>
      </x:c>
      <x:c r="BL52" t="str">
        <x:v>Unknown / Not Explicitly Reported in the currently accessible sources.</x:v>
      </x:c>
      <x:c r="BM52" t="str">
        <x:v>—</x:v>
      </x:c>
      <x:c r="BN52" t="str">
        <x:v>https://openaccess.thecvf.com/content/ICCV2025/html/Wang_DexH2R_A_Benchmark_for_Dynamic_Dexterous_Grasping_in_Human-to-Robot_Handover_ICCV_2025_paper.html；官方摘要/论文集元数据</x:v>
      </x:c>
      <x:c r="BO52" t="str">
        <x:v>B-Code-Unverified</x:v>
      </x:c>
      <x:c r="BP52" t="str">
        <x:v>Not Found</x:v>
      </x:c>
      <x:c r="BQ52" t="str">
        <x:v>Unavailable</x:v>
      </x:c>
      <x:c r="BR52" t="str">
        <x:v>Unknown</x:v>
      </x:c>
      <x:c r="BS52" t="str">
        <x:v>https://openaccess.thecvf.com/content/ICCV2025/papers/Wang_DexH2R_A_Benchmark_for_Dynamic_Dexterous_Grasping_in_Human-to-Robot_Handover_ICCV_2025_paper.pdf</x:v>
      </x:c>
      <x:c r="BT52" t="str">
        <x:v>No</x:v>
      </x:c>
      <x:c r="BU52" t="str">
        <x:v>No</x:v>
      </x:c>
      <x:c r="BV52" t="str">
        <x:v>No</x:v>
      </x:c>
      <x:c r="BW52" t="str">
        <x:v>No</x:v>
      </x:c>
      <x:c r="BX52" t="str">
        <x:v>No</x:v>
      </x:c>
      <x:c r="BY52" t="str">
        <x:v>No</x:v>
      </x:c>
      <x:c r="BZ52" t="str">
        <x:v>No</x:v>
      </x:c>
      <x:c r="CA52" t="str">
        <x:v>Unresolved</x:v>
      </x:c>
      <x:c r="CB52" t="str">
        <x:v>Not Found After Verification</x:v>
      </x:c>
      <x:c r="CC52" t="str">
        <x:v>Not Found After Verification</x:v>
      </x:c>
      <x:c r="CD52" t="str">
        <x:v>Audit logged - deep extraction pending</x:v>
      </x:c>
      <x:c r="CE52" t="str">
        <x:v>false</x:v>
      </x:c>
      <x:c r="CF52"/>
      <x:c r="CG52" t="str">
        <x:v>研究问题：人向灵巧手机器人递交物体时，动态抓取需要兼顾时机和接触稳定性。；之前方法的问题：高质量真实人机交接数据不足，限制动态灵巧抓取方法评测。；核心思路：DexH2R 建立真实人向机器人交接数据集和评测基准，并给出任务解决方案。；为什么重要：动态交接提供了感知、时序控制与接触安全的共同测试场景。；与当前项目的关系：Medium：时序与交接问题可借鉴，但灵巧手硬件不同于普通夹爪。；主要局限：摘要不足以判定方法对普通夹爪的可迁移性。</x:v>
      </x:c>
      <x:c r="CH52" t="str">
        <x:v>高质量真实人机交接数据不足，限制动态灵巧抓取方法评测。</x:v>
      </x:c>
      <x:c r="CI52" t="str">
        <x:v>DexH2R 建立真实人向机器人交接数据集和评测基准，并给出任务解决方案。</x:v>
      </x:c>
      <x:c r="CJ52"/>
      <x:c r="CK52" t="str">
        <x:v>摘要描述数据、方法和评测贡献；本轮未确认可引用的量化性能。</x:v>
      </x:c>
      <x:c r="CL52" t="str">
        <x:v>动态交接提供了感知、时序控制与接触安全的共同测试场景。</x:v>
      </x:c>
      <x:c r="CM52" t="str">
        <x:v>摘要不足以判定方法对普通夹爪的可迁移性。</x:v>
      </x:c>
      <x:c r="CN52"/>
      <x:c r="CO52" t="str">
        <x:v>Medium：时序与交接问题可借鉴，但灵巧手硬件不同于普通夹爪。</x:v>
      </x:c>
      <x:c r="CP52" t="str">
        <x:v>官方摘要/论文页; https://openaccess.thecvf.com/content/ICCV2025/html/Wang_DexH2R_A_Benchmark_for_Dynamic_Dexterous_Grasping_in_Human-to-Robot_Handover_ICCV_2025_paper.html; 核验于 2026-09-23. 仅为摘要级速读；原 Evidence Quality 不变。 - 核验层级：摘要有可追溯来源</x:v>
      </x:c>
      <x:c r="CQ52" t="str">
        <x:v>Unresolved; no reliable citation service count</x:v>
      </x:c>
      <x:c r="CR52" t="n">
        <x:v>0</x:v>
      </x:c>
      <x:c r="CS52" t="n">
        <x:v>0</x:v>
      </x:c>
    </x:row>
    <x:row r="53" ht="58" customHeight="1">
      <x:c r="A53" t="str">
        <x:v>A052</x:v>
      </x:c>
      <x:c r="B53" t="str">
        <x:v>BimArt: A Unified Approach for the Synthesis of 3D Bimanual Interaction with Articulated Objects</x:v>
      </x:c>
      <x:c r="C53" t="str">
        <x:v>Zhang, Wanyue; Dabral, Rishabh; Golyanik, Vladislav; Choutas, Vasileios; Alvarado, Eduardo; Beeler, Thabo; Habermann, Marc; Theobalt, Christian</x:v>
      </x:c>
      <x:c r="D53" t="n">
        <x:v>2025</x:v>
      </x:c>
      <x:c r="E53" t="str">
        <x:v>CVPR</x:v>
      </x:c>
      <x:c r="F53" t="str">
        <x:v>A</x:v>
      </x:c>
      <x:c r="G53" t="str">
        <x:v>Official Conference Paper</x:v>
      </x:c>
      <x:c r="H53" t="str">
        <x:v>Method Paper</x:v>
      </x:c>
      <x:c r="I53" t="str">
        <x:v>Bimanual Manipulation; Dexterous Manipulation</x:v>
      </x:c>
      <x:c r="J53" t="str">
        <x:v>3D Hand-Object Interaction / Articulated Objects</x:v>
      </x:c>
      <x:c r="K53" t="str">
        <x:v>Unknown</x:v>
      </x:c>
      <x:c r="L53" t="e">
        <x:f>HYPERLINK("https://openaccess.thecvf.com/content/CVPR2025/html/Zhang_BimArt_A_Unified_Approach_for_the_Synthesis_of_3D_Bimanual_CVPR_2025_paper.html","论文")</x:f>
        <x:v>HYPERLINK is not implemented. linkLocation=https://openaccess.thecvf.com/content/CVPR2025/html/Zhang_BimArt_A_Unified_Approach_for_the_Synthesis_of_3D_Bimanual_CVPR_2025_paper.html, friendlyName=论文</x:v>
      </x:c>
      <x:c r="M53" t="str">
        <x:v>Unknown</x:v>
      </x:c>
      <x:c r="N53" t="str">
        <x:v>Unknown</x:v>
      </x:c>
      <x:c r="O53" t="str">
        <x:v>Unknown</x:v>
      </x:c>
      <x:c r="P53" t="str">
        <x:v>Unknown</x:v>
      </x:c>
      <x:c r="Q53" t="str">
        <x:v>Unknown</x:v>
      </x:c>
      <x:c r="R53" t="str">
        <x:v>Unknown</x:v>
      </x:c>
      <x:c r="S53" t="str">
        <x:v>Unknown</x:v>
      </x:c>
      <x:c r="T53" t="str">
        <x:v>Unknown</x:v>
      </x:c>
      <x:c r="U53" t="str">
        <x:v>Unknown</x:v>
      </x:c>
      <x:c r="V53" t="str">
        <x:v>Bimanual Human Hand Model</x:v>
      </x:c>
      <x:c r="W53" t="str">
        <x:v>Bimanual</x:v>
      </x:c>
      <x:c r="X53" t="str">
        <x:v>Unknown</x:v>
      </x:c>
      <x:c r="Y53" t="str">
        <x:v>No</x:v>
      </x:c>
      <x:c r="Z53" t="str">
        <x:v>Unknown</x:v>
      </x:c>
      <x:c r="AA53" t="str">
        <x:v>Unknown</x:v>
      </x:c>
      <x:c r="AB53" t="str">
        <x:v>Unknown</x:v>
      </x:c>
      <x:c r="AC53" t="str">
        <x:v>P2</x:v>
      </x:c>
      <x:c r="AD53" t="str">
        <x:v>Official proceedings verified; CCF A via user-provided CCF 7th-edition venue mapping</x:v>
      </x:c>
      <x:c r="AE53" t="str">
        <x:v>2026-09-19</x:v>
      </x:c>
      <x:c r="AF53" t="str">
        <x:v>Formal main-conference paper verified from official proceedings. Unchecked metadata remains Unknown.</x:v>
      </x:c>
      <x:c r="AG53" t="str">
        <x:v>CCF A Conference</x:v>
      </x:c>
      <x:c r="AH53" t="str">
        <x:v>Official Conference Paper</x:v>
      </x:c>
      <x:c r="AI53" t="str">
        <x:v>No</x:v>
      </x:c>
      <x:c r="AJ53" t="str">
        <x:v>02_Papers/03_Bimanual/BimArt.md</x:v>
      </x:c>
      <x:c r="AK53" t="str">
        <x:v>Strict CCF A</x:v>
      </x:c>
      <x:c r="AL53" t="str">
        <x:v>https://openaccess.thecvf.com/content/CVPR2025/html/Zhang_BimArt_A_Unified_Approach_for_the_Synthesis_of_3D_Bimanual_CVPR_2025_paper.html; official abstract/proceedings metadata</x:v>
      </x:c>
      <x:c r="AM53" t="str">
        <x:v>Abstract-level</x:v>
      </x:c>
      <x:c r="AN53" t="str">
        <x:v>3D Hand-Object Interaction / Articulated Objects</x:v>
      </x:c>
      <x:c r="AO53" t="str">
        <x:v>See canonical card Research Summary; generated only from official abstract-level evidence.</x:v>
      </x:c>
      <x:c r="AP53" t="str">
        <x:v>Unknown</x:v>
      </x:c>
      <x:c r="AQ53" t="str">
        <x:v>Real Robot=No; Dataset/Benchmark/Robot Platform retain Unknown when not verified.</x:v>
      </x:c>
      <x:c r="AR53" t="str">
        <x:v>** 与 NERO 双臂、普通夹爪、示范采集和双臂策略学习直接相关，优先评估动作表示与协同控制是否可迁移。</x:v>
      </x:c>
      <x:c r="AS53" t="str">
        <x:v>Project-stated CCF seventh-edition mapping; official row pending where noted</x:v>
      </x:c>
      <x:c r="AT53" t="str">
        <x:v>Bimanual</x:v>
      </x:c>
      <x:c r="AU53" t="n">
        <x:v>7</x:v>
      </x:c>
      <x:c r="AV53" t="str">
        <x:v>OpenAlex</x:v>
      </x:c>
      <x:c r="AW53" t="str">
        <x:v>2026-09-25</x:v>
      </x:c>
      <x:c r="AX53" t="str">
        <x:v>关节物体上的双手接触与运动具有多种合理方式，难以生成。</x:v>
      </x:c>
      <x:c r="AY53" t="str">
        <x:v>Unknown / Needs Full-Paper Verification</x:v>
      </x:c>
      <x:c r="AZ53" t="str">
        <x:v>以 `Unknown` 为主要方法/能力线索；更细的结构和消融结论待正文核验。</x:v>
      </x:c>
      <x:c r="BA53" t="str">
        <x:v>关节物体双手交互数据；具体对象和指标见论文。</x:v>
      </x:c>
      <x:c r="BB53" t="str">
        <x:v>Unknown / Needs Full-Paper Verification</x:v>
      </x:c>
      <x:c r="BC53" t="str">
        <x:v>- We present BimArt, a novel generative approach for synthesi</x:v>
      </x:c>
      <x:c r="BD53" t="str">
        <x:v>Real Robot 字段为 `No`；Dataset、Benchmark、Robot Platform 中的 Unknown 继续保留，不从题名推断。</x:v>
      </x:c>
      <x:c r="BE53" t="str">
        <x:v>摘要说明生成的接触图可以表达多样双手交互；本轮未核验统一量化结果。</x:v>
      </x:c>
      <x:c r="BF53" t="str">
        <x:v>Unknown / Needs Full-Paper Verification</x:v>
      </x:c>
      <x:c r="BG53" t="str">
        <x:v>Library Analysis / Research Note: Unknown / Needs Full-Paper Verification</x:v>
      </x:c>
      <x:c r="BH53" t="str">
        <x:v>Unknown</x:v>
      </x:c>
      <x:c r="BI53" t="str">
        <x:v>B</x:v>
      </x:c>
      <x:c r="BJ53"/>
      <x:c r="BK53" t="str">
        <x:v>Unknown / Not Explicitly Reported in the currently accessible sources.</x:v>
      </x:c>
      <x:c r="BL53" t="str">
        <x:v>Unknown / Not Explicitly Reported in the currently accessible sources.</x:v>
      </x:c>
      <x:c r="BM53" t="str">
        <x:v>https://openalex.org/W4413145043</x:v>
      </x:c>
      <x:c r="BN53" t="str">
        <x:v>https://openaccess.thecvf.com/content/CVPR2025/html/</x:v>
      </x:c>
      <x:c r="BO53" t="str">
        <x:v>B-Code-Unverified</x:v>
      </x:c>
      <x:c r="BP53" t="str">
        <x:v>Not Found</x:v>
      </x:c>
      <x:c r="BQ53" t="str">
        <x:v>Unavailable</x:v>
      </x:c>
      <x:c r="BR53" t="str">
        <x:v>Unknown</x:v>
      </x:c>
      <x:c r="BS53" t="str">
        <x:v>https://openaccess.thecvf.com/content/CVPR2025/papers/Zhang_BimArt_A_Unified_Approach_for_the_Synthesis_of_3D_Bimanual_CVPR_2025_paper.pdf</x:v>
      </x:c>
      <x:c r="BT53" t="str">
        <x:v>No</x:v>
      </x:c>
      <x:c r="BU53" t="str">
        <x:v>No</x:v>
      </x:c>
      <x:c r="BV53" t="str">
        <x:v>No</x:v>
      </x:c>
      <x:c r="BW53" t="str">
        <x:v>No</x:v>
      </x:c>
      <x:c r="BX53" t="str">
        <x:v>No</x:v>
      </x:c>
      <x:c r="BY53" t="str">
        <x:v>No</x:v>
      </x:c>
      <x:c r="BZ53" t="str">
        <x:v>No</x:v>
      </x:c>
      <x:c r="CA53" t="str">
        <x:v>Matched</x:v>
      </x:c>
      <x:c r="CB53" t="str">
        <x:v>Not Found After Verification</x:v>
      </x:c>
      <x:c r="CC53" t="str">
        <x:v>Not Found After Verification</x:v>
      </x:c>
      <x:c r="CD53" t="str">
        <x:v>Audit logged - deep extraction pending</x:v>
      </x:c>
      <x:c r="CE53" t="str">
        <x:v>false</x:v>
      </x:c>
      <x:c r="CF53"/>
      <x:c r="CG53" t="str">
        <x:v>研究问题：关节物体上的双手接触与运动具有多种合理方式，难以生成。；之前方法的问题：只预测单个抓点不能表达物体关节运动和双手接触关系。；核心思路：BimArt 先根据物体轨迹生成接触距离图，再合成与关节结构一致的三维双手交互。；数据集与评测基准：关节物体双手交互数据；具体对象和指标见论文。；主要结果：摘要说明生成的接触图可以表达多样双手交互；本轮未核验统一量化结果。；为什么重要：为双臂支撑—操作任务提供接触表示参考。；与当前项目的关系：Medium：手部交互可借鉴，转换为普通夹爪动作仍需验证。；主要局限：人手生成结果与真实机械臂碰撞、可达性之间的关系尚需检查。</x:v>
      </x:c>
      <x:c r="CH53" t="str">
        <x:v>只预测单个抓点不能表达物体关节运动和双手接触关系。</x:v>
      </x:c>
      <x:c r="CI53" t="str">
        <x:v>BimArt 先根据物体轨迹生成接触距离图，再合成与关节结构一致的三维双手交互。</x:v>
      </x:c>
      <x:c r="CJ53"/>
      <x:c r="CK53" t="str">
        <x:v>摘要说明生成的接触图可以表达多样双手交互；本轮未核验统一量化结果。</x:v>
      </x:c>
      <x:c r="CL53" t="str">
        <x:v>为双臂支撑—操作任务提供接触表示参考。</x:v>
      </x:c>
      <x:c r="CM53" t="str">
        <x:v>人手生成结果与真实机械臂碰撞、可达性之间的关系尚需检查。</x:v>
      </x:c>
      <x:c r="CN53"/>
      <x:c r="CO53" t="str">
        <x:v>Medium：手部交互可借鉴，转换为普通夹爪动作仍需验证。</x:v>
      </x:c>
      <x:c r="CP53" t="str">
        <x:v>官方摘要/论文页; https://arxiv.org/html/2412.05066; 核验于 2026-09-23. 仅为摘要级速读；原 Evidence Quality 不变。 - 核验层级：摘要有可追溯来源</x:v>
      </x:c>
      <x:c r="CQ53" t="str">
        <x:v>title</x:v>
      </x:c>
      <x:c r="CR53" t="n">
        <x:v>1</x:v>
      </x:c>
      <x:c r="CS53" t="n">
        <x:v>0</x:v>
      </x:c>
    </x:row>
    <x:row r="54" ht="58" customHeight="1">
      <x:c r="A54" t="str">
        <x:v>A053</x:v>
      </x:c>
      <x:c r="B54" t="str">
        <x:v>DexVLG: Dexterous Vision-Language-Grasp Model at Scale</x:v>
      </x:c>
      <x:c r="C54" t="str">
        <x:v>He, Jiawei; Li, Danshi; Yu, Xinqiang; Qi, Zekun; Zhang, Wenyao; Chen, Jiayi; Zhang, Zhaoxiang; Zhang, Zhizheng; Yi, Li; Wang, He</x:v>
      </x:c>
      <x:c r="D54" t="n">
        <x:v>2025</x:v>
      </x:c>
      <x:c r="E54" t="str">
        <x:v>ICCV</x:v>
      </x:c>
      <x:c r="F54" t="str">
        <x:v>A</x:v>
      </x:c>
      <x:c r="G54" t="str">
        <x:v>Official Conference Paper</x:v>
      </x:c>
      <x:c r="H54" t="str">
        <x:v>Method Paper</x:v>
      </x:c>
      <x:c r="I54" t="str">
        <x:v>VLA; Dexterous Manipulation</x:v>
      </x:c>
      <x:c r="J54" t="str">
        <x:v>Vision-Language-Grasp / Flow Matching</x:v>
      </x:c>
      <x:c r="K54" t="str">
        <x:v>Unknown</x:v>
      </x:c>
      <x:c r="L54" t="e">
        <x:f>HYPERLINK("https://openaccess.thecvf.com/content/ICCV2025/html/He_DexVLG_Dexterous_Vision-Language-Grasp_Model_at_Scale_ICCV_2025_paper.html","论文")</x:f>
        <x:v>HYPERLINK is not implemented. linkLocation=https://openaccess.thecvf.com/content/ICCV2025/html/He_DexVLG_Dexterous_Vision-Language-Grasp_Model_at_Scale_ICCV_2025_paper.html, friendlyName=论文</x:v>
      </x:c>
      <x:c r="M54" t="str">
        <x:v>Unknown</x:v>
      </x:c>
      <x:c r="N54" t="str">
        <x:v>Unknown</x:v>
      </x:c>
      <x:c r="O54" t="str">
        <x:v>Unknown</x:v>
      </x:c>
      <x:c r="P54" t="e">
        <x:f>HYPERLINK("https://github.com/jiaweihe1996/DexVLG","GitHub")</x:f>
        <x:v>HYPERLINK is not implemented. linkLocation=https://github.com/jiaweihe1996/DexVLG, friendlyName=GitHub</x:v>
      </x:c>
      <x:c r="Q54" t="str">
        <x:v>Coming Soon</x:v>
      </x:c>
      <x:c r="R54" t="str">
        <x:v>Unknown</x:v>
      </x:c>
      <x:c r="S54" t="str">
        <x:v>Unknown</x:v>
      </x:c>
      <x:c r="T54" t="str">
        <x:v>Unknown</x:v>
      </x:c>
      <x:c r="U54" t="str">
        <x:v>Unknown</x:v>
      </x:c>
      <x:c r="V54" t="str">
        <x:v>Dexterous Hand</x:v>
      </x:c>
      <x:c r="W54" t="str">
        <x:v>Unknown</x:v>
      </x:c>
      <x:c r="X54" t="str">
        <x:v>Dexterous Hand</x:v>
      </x:c>
      <x:c r="Y54" t="str">
        <x:v>Yes</x:v>
      </x:c>
      <x:c r="Z54" t="str">
        <x:v>Unknown</x:v>
      </x:c>
      <x:c r="AA54" t="str">
        <x:v>Unknown</x:v>
      </x:c>
      <x:c r="AB54" t="str">
        <x:v>Unknown</x:v>
      </x:c>
      <x:c r="AC54" t="str">
        <x:v>P0</x:v>
      </x:c>
      <x:c r="AD54" t="str">
        <x:v>Official proceedings verified; CCF A via user-provided CCF 7th-edition venue mapping</x:v>
      </x:c>
      <x:c r="AE54" t="str">
        <x:v>2026-09-19</x:v>
      </x:c>
      <x:c r="AF54" t="str">
        <x:v>Formal main-conference paper verified from official proceedings. Unchecked metadata remains Unknown.</x:v>
      </x:c>
      <x:c r="AG54" t="str">
        <x:v>CCF A Conference</x:v>
      </x:c>
      <x:c r="AH54" t="str">
        <x:v>Official Conference Paper</x:v>
      </x:c>
      <x:c r="AI54" t="str">
        <x:v>No</x:v>
      </x:c>
      <x:c r="AJ54" t="str">
        <x:v>02_Papers/04_Dexterous/DexVLG.md</x:v>
      </x:c>
      <x:c r="AK54" t="str">
        <x:v>Strict CCF A</x:v>
      </x:c>
      <x:c r="AL54" t="str">
        <x:v>https://openaccess.thecvf.com/content/ICCV2025/html/He_DexVLG_Dexterous_Vision-Language-Grasp_Model_at_Scale_ICCV_2025_paper.html; official abstract/proceedings metadata</x:v>
      </x:c>
      <x:c r="AM54" t="str">
        <x:v>Abstract-level</x:v>
      </x:c>
      <x:c r="AN54" t="str">
        <x:v>Vision-Language-Grasp / Flow Matching</x:v>
      </x:c>
      <x:c r="AO54" t="str">
        <x:v>See canonical card Research Summary; generated only from official abstract-level evidence.</x:v>
      </x:c>
      <x:c r="AP54" t="str">
        <x:v>Unknown</x:v>
      </x:c>
      <x:c r="AQ54" t="str">
        <x:v>Real Robot=Yes; Dataset/Benchmark/Robot Platform retain Unknown when not verified.</x:v>
      </x:c>
      <x:c r="AR54" t="str">
        <x:v>** 可用于 VLA/机器人基础模型路线对比；应重点核对动作头、训练数据与真机部署成本是否适合当前平台。</x:v>
      </x:c>
      <x:c r="AS54" t="str">
        <x:v>Project-stated CCF seventh-edition mapping; official row pending where noted</x:v>
      </x:c>
      <x:c r="AT54" t="str">
        <x:v>Dexterous</x:v>
      </x:c>
      <x:c r="AU54" t="n">
        <x:v>0</x:v>
      </x:c>
      <x:c r="AV54" t="str">
        <x:v>OpenAlex</x:v>
      </x:c>
      <x:c r="AW54" t="str">
        <x:v>2026-09-25</x:v>
      </x:c>
      <x:c r="AX54" t="str">
        <x:v>高质量灵巧抓取位姿数据不足，语言与抓取动作难对齐。</x:v>
      </x:c>
      <x:c r="AY54" t="str">
        <x:v>Unknown / Needs Full-Paper Verification</x:v>
      </x:c>
      <x:c r="AZ54" t="str">
        <x:v>以 `Unknown` 为主要方法/能力线索；更细的结构和消融结论待正文核验。</x:v>
      </x:c>
      <x:c r="BA54" t="str">
        <x:v>LVIS-Seen、LVIS-Unseen、SamPart3D。</x:v>
      </x:c>
      <x:c r="BB54" t="str">
        <x:v>Unknown / Needs Full-Paper Verification</x:v>
      </x:c>
      <x:c r="BC54" t="str">
        <x:v>- In this paper, we introduce DexVLG, a large Vision-Language-Grasp model for Dexterous grasp pose prediction aligned with language instructions using single-view RGBD input.</x:v>
      </x:c>
      <x:c r="BD54" t="str">
        <x:v>Real Robot 字段为 `Yes`；Dataset、Benchmark、Robot Platform 中的 Unknown 继续保留，不从题名推断。</x:v>
      </x:c>
      <x:c r="BE54" t="str">
        <x:v>Unknown / Needs Full-Paper Verification</x:v>
      </x:c>
      <x:c r="BF54" t="str">
        <x:v>Unknown / Needs Full-Paper Verification</x:v>
      </x:c>
      <x:c r="BG54" t="str">
        <x:v>Library Analysis / Research Note: Unknown / Needs Full-Paper Verification</x:v>
      </x:c>
      <x:c r="BH54" t="str">
        <x:v>Unknown</x:v>
      </x:c>
      <x:c r="BI54" t="str">
        <x:v>A</x:v>
      </x:c>
      <x:c r="BJ54" t="str">
        <x:v>Idea Clue 1: use part-level language affordances as a perception front-end for bimanual grasp sequencing. Evidence: part-touch/part-grasp metrics and flow pose head. Why relevant: supports target-region and action alignment.</x:v>
      </x:c>
      <x:c r="BK54" t="str">
        <x:v>The paper compares language-enabled DGN2.0* + CLIP against the full VLM/flow model; exact component ablations require supplementary extraction.</x:v>
      </x:c>
      <x:c r="BL54" t="str">
        <x:v>The reported setting focuses on tabletop part-aligned grasps; broader clutter, occlusion and multi-step manipulation are not established by the cited results.</x:v>
      </x:c>
      <x:c r="BM54" t="str">
        <x:v>https://openalex.org/W4417183400</x:v>
      </x:c>
      <x:c r="BN54" t="str">
        <x:v>https://openaccess.thecvf.com/content/ICCV2025/html/He_DexVLG_Dexterous_Vision-Language-Grasp_Model_at_Scale_ICCV_2025_paper.html；官方摘要/论文集元数据</x:v>
      </x:c>
      <x:c r="BO54" t="str">
        <x:v>A-Upgraded</x:v>
      </x:c>
      <x:c r="BP54" t="str">
        <x:v>Available - Verified</x:v>
      </x:c>
      <x:c r="BQ54" t="str">
        <x:v>Unknown</x:v>
      </x:c>
      <x:c r="BR54" t="str">
        <x:v>Unknown</x:v>
      </x:c>
      <x:c r="BS54" t="str">
        <x:v>https://openaccess.thecvf.com/content/ICCV2025/papers/He_DexVLG_Dexterous_Vision-Language-Grasp_Model_at_Scale_ICCV_2025_paper.pdf</x:v>
      </x:c>
      <x:c r="BT54" t="str">
        <x:v>No</x:v>
      </x:c>
      <x:c r="BU54" t="str">
        <x:v>No</x:v>
      </x:c>
      <x:c r="BV54" t="str">
        <x:v>No</x:v>
      </x:c>
      <x:c r="BW54" t="str">
        <x:v>No</x:v>
      </x:c>
      <x:c r="BX54" t="str">
        <x:v>No</x:v>
      </x:c>
      <x:c r="BY54" t="str">
        <x:v>No</x:v>
      </x:c>
      <x:c r="BZ54" t="str">
        <x:v>No</x:v>
      </x:c>
      <x:c r="CA54" t="str">
        <x:v>Matched</x:v>
      </x:c>
      <x:c r="CB54" t="str">
        <x:v>Not Found After Verification</x:v>
      </x:c>
      <x:c r="CC54" t="str">
        <x:v>Not Found After Verification</x:v>
      </x:c>
      <x:c r="CD54" t="str">
        <x:v>Audit logged - deep extraction pending</x:v>
      </x:c>
      <x:c r="CE54" t="str">
        <x:v>false</x:v>
      </x:c>
      <x:c r="CF54"/>
      <x:c r="CG54" t="str">
        <x:v>研究问题：高质量灵巧抓取位姿数据不足，语言与抓取动作难对齐。；之前方法的问题：大视觉语言模型缺少足够的三维接触监督。；核心思路：DexVLG 结合单视角 RGB-D、点云编码、Florence-2 与 Flow Matching 位姿头，预测语言条件抓取。；数据集与评测基准：LVIS-Seen、LVIS-Unseen、SamPart3D。；为什么重要：连接视觉语言理解与三维抓取位姿生成。；与当前项目的关系：Medium：Grounding 思路可迁移，手型动作头需替换。；主要局限：结果集中于桌面抓取，长任务与普通夹爪双臂迁移未证实。</x:v>
      </x:c>
      <x:c r="CH54" t="str">
        <x:v>大视觉语言模型缺少足够的三维接触监督。</x:v>
      </x:c>
      <x:c r="CI54" t="str">
        <x:v>DexVLG 结合单视角 RGB-D、点云编码、Florence-2 与 Flow Matching 位姿头，预测语言条件抓取。</x:v>
      </x:c>
      <x:c r="CJ54" t="str">
        <x:v>Compared against DexGraspNet2.0 retrained on DexGraspNet3.0 (DGN2.0*) and DGN2.0* + CLIP. Metrics are simulation success (Suc), part-touch accuracy (PTA) and part-grasp accuracy (PGA).</x:v>
      </x:c>
      <x:c r="CK54" t="str">
        <x:v>卡片记录三个测试集的 Suc 为 87.7/79.1/76.3%；完整 PGA 指标和对比见原卡。</x:v>
      </x:c>
      <x:c r="CL54" t="str">
        <x:v>连接视觉语言理解与三维抓取位姿生成。</x:v>
      </x:c>
      <x:c r="CM54" t="str">
        <x:v>结果集中于桌面抓取，长任务与普通夹爪双臂迁移未证实。</x:v>
      </x:c>
      <x:c r="CN54" t="str">
        <x:v>Library Analysis: language-aligned dexterous grasp generation still needs validation for bimanual coordination and ordinary-gripper transfer.</x:v>
      </x:c>
      <x:c r="CO54" t="str">
        <x:v>Medium：Grounding 思路可迁移，手型动作头需替换。</x:v>
      </x:c>
      <x:c r="CP54" t="str">
        <x:v>官方摘要/论文页; https://openaccess.thecvf.com/content/ICCV2025/html/He_DexVLG_Dexterous_Vision-Language-Grasp_Model_at_Scale_ICCV_2025_paper.html; 核验于 2026-09-23. 仅为摘要级速读；原 Evidence Quality 不变。 - 核验层级：摘要有可追溯来源</x:v>
      </x:c>
      <x:c r="CQ54" t="str">
        <x:v>title</x:v>
      </x:c>
      <x:c r="CR54" t="n">
        <x:v>0</x:v>
      </x:c>
      <x:c r="CS54" t="n">
        <x:v>0</x:v>
      </x:c>
    </x:row>
    <x:row r="55" ht="58" customHeight="1">
      <x:c r="A55" t="str">
        <x:v>A054</x:v>
      </x:c>
      <x:c r="B55" t="str">
        <x:v>LatentHOI: On the Generalizable Hand Object Motion Generation with Latent Hand Diffusion</x:v>
      </x:c>
      <x:c r="C55" t="str">
        <x:v>Li, Muchen; Christen, Sammy; Wan, Chengde; Cai, Yujun; Liao, Renjie; Sigal, Leonid; Ma, Shugao</x:v>
      </x:c>
      <x:c r="D55" t="n">
        <x:v>2025</x:v>
      </x:c>
      <x:c r="E55" t="str">
        <x:v>CVPR</x:v>
      </x:c>
      <x:c r="F55" t="str">
        <x:v>A</x:v>
      </x:c>
      <x:c r="G55" t="str">
        <x:v>Official Conference Paper</x:v>
      </x:c>
      <x:c r="H55" t="str">
        <x:v>Method Paper</x:v>
      </x:c>
      <x:c r="I55" t="str">
        <x:v>Dexterous Manipulation; Diffusion / Flow</x:v>
      </x:c>
      <x:c r="J55" t="str">
        <x:v>Hand-Object Motion / Generalization</x:v>
      </x:c>
      <x:c r="K55" t="str">
        <x:v>Unknown</x:v>
      </x:c>
      <x:c r="L55" t="e">
        <x:f>HYPERLINK("https://openaccess.thecvf.com/content/CVPR2025/html/Li_LatentHOI_On_the_Generalizable_Hand_Object_Motion_Generation_with_Latent_CVPR_2025_paper.html","论文")</x:f>
        <x:v>HYPERLINK is not implemented. linkLocation=https://openaccess.thecvf.com/content/CVPR2025/html/Li_LatentHOI_On_the_Generalizable_Hand_Object_Motion_Generation_with_Latent_CVPR_2025_paper.html, friendlyName=论文</x:v>
      </x:c>
      <x:c r="M55" t="str">
        <x:v>Unknown</x:v>
      </x:c>
      <x:c r="N55" t="str">
        <x:v>Unknown</x:v>
      </x:c>
      <x:c r="O55" t="str">
        <x:v>Unknown</x:v>
      </x:c>
      <x:c r="P55" t="str">
        <x:v>Unknown</x:v>
      </x:c>
      <x:c r="Q55" t="str">
        <x:v>Unknown</x:v>
      </x:c>
      <x:c r="R55" t="str">
        <x:v>Unknown</x:v>
      </x:c>
      <x:c r="S55" t="str">
        <x:v>Unknown</x:v>
      </x:c>
      <x:c r="T55" t="str">
        <x:v>Unknown</x:v>
      </x:c>
      <x:c r="U55" t="str">
        <x:v>Unknown</x:v>
      </x:c>
      <x:c r="V55" t="str">
        <x:v>Single and Bimanual Human Hand Model</x:v>
      </x:c>
      <x:c r="W55" t="str">
        <x:v>Bimanual</x:v>
      </x:c>
      <x:c r="X55" t="str">
        <x:v>Unknown</x:v>
      </x:c>
      <x:c r="Y55" t="str">
        <x:v>No</x:v>
      </x:c>
      <x:c r="Z55" t="str">
        <x:v>Unknown</x:v>
      </x:c>
      <x:c r="AA55" t="str">
        <x:v>Unknown</x:v>
      </x:c>
      <x:c r="AB55" t="str">
        <x:v>Unknown</x:v>
      </x:c>
      <x:c r="AC55" t="str">
        <x:v>P2</x:v>
      </x:c>
      <x:c r="AD55" t="str">
        <x:v>Official proceedings verified; CCF A via user-provided CCF 7th-edition venue mapping</x:v>
      </x:c>
      <x:c r="AE55" t="str">
        <x:v>2026-09-19</x:v>
      </x:c>
      <x:c r="AF55" t="str">
        <x:v>Formal main-conference paper verified from official proceedings. Unchecked metadata remains Unknown.</x:v>
      </x:c>
      <x:c r="AG55" t="str">
        <x:v>CCF A Conference</x:v>
      </x:c>
      <x:c r="AH55" t="str">
        <x:v>Official Conference Paper</x:v>
      </x:c>
      <x:c r="AI55" t="str">
        <x:v>No</x:v>
      </x:c>
      <x:c r="AJ55" t="str">
        <x:v>02_Papers/04_Dexterous/LatentHOI.md</x:v>
      </x:c>
      <x:c r="AK55" t="str">
        <x:v>Strict CCF A</x:v>
      </x:c>
      <x:c r="AL55" t="str">
        <x:v>https://openaccess.thecvf.com/content/CVPR2025/html/Li_LatentHOI_On_the_Generalizable_Hand_Object_Motion_Generation_with_Latent_CVPR_2025_paper.html; official abstract/proceedings metadata</x:v>
      </x:c>
      <x:c r="AM55" t="str">
        <x:v>Abstract-level</x:v>
      </x:c>
      <x:c r="AN55" t="str">
        <x:v>Hand-Object Motion / Generalization</x:v>
      </x:c>
      <x:c r="AO55" t="str">
        <x:v>See canonical card Research Summary; generated only from official abstract-level evidence.</x:v>
      </x:c>
      <x:c r="AP55" t="str">
        <x:v>Unknown</x:v>
      </x:c>
      <x:c r="AQ55" t="str">
        <x:v>Real Robot=No; Dataset/Benchmark/Robot Platform retain Unknown when not verified.</x:v>
      </x:c>
      <x:c r="AR55" t="str">
        <x:v>** 与 NERO 双臂、普通夹爪、示范采集和双臂策略学习直接相关，优先评估动作表示与协同控制是否可迁移。</x:v>
      </x:c>
      <x:c r="AS55" t="str">
        <x:v>Project-stated CCF seventh-edition mapping; official row pending where noted</x:v>
      </x:c>
      <x:c r="AT55" t="str">
        <x:v>Dexterous</x:v>
      </x:c>
      <x:c r="AU55" t="n">
        <x:v>4</x:v>
      </x:c>
      <x:c r="AV55" t="str">
        <x:v>OpenAlex</x:v>
      </x:c>
      <x:c r="AW55" t="str">
        <x:v>2026-09-25</x:v>
      </x:c>
      <x:c r="AX55" t="str">
        <x:v>三维手—物交互生成对训练外新物体的泛化不足。</x:v>
      </x:c>
      <x:c r="AY55" t="str">
        <x:v>Unknown / Needs Full-Paper Verification</x:v>
      </x:c>
      <x:c r="AZ55" t="str">
        <x:v>以 `Unknown` 为主要方法/能力线索；更细的结构和消融结论待正文核验。</x:v>
      </x:c>
      <x:c r="BA55" t="str">
        <x:v>已核验摘要未明确说明；需查阅论文方法与实验章节。</x:v>
      </x:c>
      <x:c r="BB55" t="str">
        <x:v>Unknown / Needs Full-Paper Verification</x:v>
      </x:c>
      <x:c r="BC55" t="str">
        <x:v>- Generali</x:v>
      </x:c>
      <x:c r="BD55" t="str">
        <x:v>Real Robot 字段为 `No`；Dataset、Benchmark、Robot Platform 中的 Unknown 继续保留，不从题名推断。</x:v>
      </x:c>
      <x:c r="BE55" t="str">
        <x:v>作者报告在未见物体设置的单手与双手数据集上评测；具体指标需查表格。</x:v>
      </x:c>
      <x:c r="BF55" t="str">
        <x:v>Unknown / Needs Full-Paper Verification</x:v>
      </x:c>
      <x:c r="BG55" t="str">
        <x:v>Library Analysis / Research Note: Unknown / Needs Full-Paper Verification</x:v>
      </x:c>
      <x:c r="BH55" t="str">
        <x:v>Unknown</x:v>
      </x:c>
      <x:c r="BI55" t="str">
        <x:v>B</x:v>
      </x:c>
      <x:c r="BJ55"/>
      <x:c r="BK55" t="str">
        <x:v>Unknown / Not Explicitly Reported in the currently accessible sources.</x:v>
      </x:c>
      <x:c r="BL55" t="str">
        <x:v>Unknown / Not Explicitly Reported in the currently accessible sources.</x:v>
      </x:c>
      <x:c r="BM55" t="str">
        <x:v>https://openalex.org/W4413146191</x:v>
      </x:c>
      <x:c r="BN55" t="str">
        <x:v>https://openaccess.thecvf.com/content/CVPR2025/html/Li_LatentHOI_On_the_Generali</x:v>
      </x:c>
      <x:c r="BO55" t="str">
        <x:v>B-Code-Unverified</x:v>
      </x:c>
      <x:c r="BP55" t="str">
        <x:v>Not Found</x:v>
      </x:c>
      <x:c r="BQ55" t="str">
        <x:v>Unavailable</x:v>
      </x:c>
      <x:c r="BR55" t="str">
        <x:v>Unknown</x:v>
      </x:c>
      <x:c r="BS55" t="str">
        <x:v>https://openaccess.thecvf.com/content/CVPR2025/papers/Li_LatentHOI_On_the_Generalizable_Hand_Object_Motion_Generation_with_Latent_CVPR_2025_paper.pdf</x:v>
      </x:c>
      <x:c r="BT55" t="str">
        <x:v>No</x:v>
      </x:c>
      <x:c r="BU55" t="str">
        <x:v>No</x:v>
      </x:c>
      <x:c r="BV55" t="str">
        <x:v>No</x:v>
      </x:c>
      <x:c r="BW55" t="str">
        <x:v>No</x:v>
      </x:c>
      <x:c r="BX55" t="str">
        <x:v>No</x:v>
      </x:c>
      <x:c r="BY55" t="str">
        <x:v>No</x:v>
      </x:c>
      <x:c r="BZ55" t="str">
        <x:v>No</x:v>
      </x:c>
      <x:c r="CA55" t="str">
        <x:v>Matched</x:v>
      </x:c>
      <x:c r="CB55" t="str">
        <x:v>Not Found After Verification</x:v>
      </x:c>
      <x:c r="CC55" t="str">
        <x:v>Not Found After Verification</x:v>
      </x:c>
      <x:c r="CD55" t="str">
        <x:v>Audit logged - deep extraction pending</x:v>
      </x:c>
      <x:c r="CE55" t="str">
        <x:v>false</x:v>
      </x:c>
      <x:c r="CF55"/>
      <x:c r="CG55" t="str">
        <x:v>研究问题：三维手—物交互生成对训练外新物体的泛化不足。；之前方法的问题：只在已见物体分布上建模，难适应未见几何。；核心思路：LatentHOI 学习潜在手—物交互表示，生成未见物体上的单手抓取和双手运动。；主要结果：作者报告在未见物体设置的单手与双手数据集上评测；具体指标需查表格。；为什么重要：为跨物体泛化提供交互表示视角。；与当前项目的关系：Medium：双臂普通夹爪可借鉴物体中心表示。；主要局限：生成的人手运动还需转成机器人可达动作。</x:v>
      </x:c>
      <x:c r="CH55" t="str">
        <x:v>只在已见物体分布上建模，难适应未见几何。</x:v>
      </x:c>
      <x:c r="CI55" t="str">
        <x:v>LatentHOI 学习潜在手—物交互表示，生成未见物体上的单手抓取和双手运动。</x:v>
      </x:c>
      <x:c r="CJ55"/>
      <x:c r="CK55" t="str">
        <x:v>作者报告在未见物体设置的单手与双手数据集上评测；具体指标需查表格。</x:v>
      </x:c>
      <x:c r="CL55" t="str">
        <x:v>为跨物体泛化提供交互表示视角。</x:v>
      </x:c>
      <x:c r="CM55" t="str">
        <x:v>生成的人手运动还需转成机器人可达动作。</x:v>
      </x:c>
      <x:c r="CN55"/>
      <x:c r="CO55" t="str">
        <x:v>Medium：双臂普通夹爪可借鉴物体中心表示。</x:v>
      </x:c>
      <x:c r="CP55" t="str">
        <x:v>官方摘要/论文页; https://openaccess.thecvf.com/content/CVPR2025/html/Li_LatentHOI_On_the_Generalizable_Hand_Object_Motion_Generation_with_Latent_CVPR_2025_paper.html; 核验于 2026-09-23. 仅为摘要级速读；原 Evidence Quality 不变。 - 核验层级：摘要有可追溯来源</x:v>
      </x:c>
      <x:c r="CQ55" t="str">
        <x:v>title</x:v>
      </x:c>
      <x:c r="CR55" t="n">
        <x:v>0</x:v>
      </x:c>
      <x:c r="CS55" t="n">
        <x:v>0</x:v>
      </x:c>
    </x:row>
    <x:row r="56" ht="58" customHeight="1">
      <x:c r="A56" t="str">
        <x:v>A055</x:v>
      </x:c>
      <x:c r="B56" t="str">
        <x:v>TACO: Benchmarking Generalizable Bimanual Tool-ACtion-Object Understanding</x:v>
      </x:c>
      <x:c r="C56" t="str">
        <x:v>Unknown</x:v>
      </x:c>
      <x:c r="D56" t="n">
        <x:v>2024</x:v>
      </x:c>
      <x:c r="E56" t="str">
        <x:v>CVPR</x:v>
      </x:c>
      <x:c r="F56" t="str">
        <x:v>A</x:v>
      </x:c>
      <x:c r="G56" t="str">
        <x:v>Official Conference Paper</x:v>
      </x:c>
      <x:c r="H56" t="str">
        <x:v>Dataset / Benchmark</x:v>
      </x:c>
      <x:c r="I56" t="str">
        <x:v>Bimanual Manipulation; Dataset / Benchmark</x:v>
      </x:c>
      <x:c r="J56" t="str">
        <x:v>Tool-Action-Object Understanding</x:v>
      </x:c>
      <x:c r="K56" t="str">
        <x:v>Unknown</x:v>
      </x:c>
      <x:c r="L56" t="e">
        <x:f>HYPERLINK("https://openaccess.thecvf.com/content/CVPR2024/papers/Liu_TACO_Benchmarking_Generalizable_Bimanual_Tool-ACtion-Object_Understanding_CVPR_2024_paper.pdf","论文")</x:f>
        <x:v>HYPERLINK is not implemented. linkLocation=https://openaccess.thecvf.com/content/CVPR2024/papers/Liu_TACO_Benchmarking_Generalizable_Bimanual_Tool-ACtion-Object_Understanding_CVPR_2024_paper.pdf, friendlyName=论文</x:v>
      </x:c>
      <x:c r="M56" t="str">
        <x:v>Unknown</x:v>
      </x:c>
      <x:c r="N56" t="str">
        <x:v>Unknown</x:v>
      </x:c>
      <x:c r="O56" t="str">
        <x:v>Unknown</x:v>
      </x:c>
      <x:c r="P56" t="str">
        <x:v>Unknown</x:v>
      </x:c>
      <x:c r="Q56" t="str">
        <x:v>Unknown</x:v>
      </x:c>
      <x:c r="R56" t="str">
        <x:v>Unknown</x:v>
      </x:c>
      <x:c r="S56" t="str">
        <x:v>Unknown</x:v>
      </x:c>
      <x:c r="T56" t="str">
        <x:v>Unknown</x:v>
      </x:c>
      <x:c r="U56" t="str">
        <x:v>Unknown</x:v>
      </x:c>
      <x:c r="V56" t="str">
        <x:v>Bimanual Human Interaction</x:v>
      </x:c>
      <x:c r="W56" t="str">
        <x:v>Bimanual</x:v>
      </x:c>
      <x:c r="X56" t="str">
        <x:v>Unknown</x:v>
      </x:c>
      <x:c r="Y56" t="str">
        <x:v>No</x:v>
      </x:c>
      <x:c r="Z56" t="str">
        <x:v>Unknown</x:v>
      </x:c>
      <x:c r="AA56" t="str">
        <x:v>Unknown</x:v>
      </x:c>
      <x:c r="AB56" t="str">
        <x:v>Unknown</x:v>
      </x:c>
      <x:c r="AC56" t="str">
        <x:v>P2</x:v>
      </x:c>
      <x:c r="AD56" t="str">
        <x:v>Official proceedings verified; CCF A via user-provided CCF 7th-edition venue mapping</x:v>
      </x:c>
      <x:c r="AE56" t="str">
        <x:v>2026-09-19</x:v>
      </x:c>
      <x:c r="AF56" t="str">
        <x:v>Formal main-conference paper verified from official proceedings. Unchecked metadata remains Unknown.</x:v>
      </x:c>
      <x:c r="AG56" t="str">
        <x:v>CCF A Conference</x:v>
      </x:c>
      <x:c r="AH56" t="str">
        <x:v>Official Conference Paper</x:v>
      </x:c>
      <x:c r="AI56" t="str">
        <x:v>No</x:v>
      </x:c>
      <x:c r="AJ56" t="str">
        <x:v>02_Papers/10_Benchmark_Dataset/TACO.md</x:v>
      </x:c>
      <x:c r="AK56" t="str">
        <x:v>Strict CCF A</x:v>
      </x:c>
      <x:c r="AL56" t="str">
        <x:v>https://openaccess.thecvf.com/content/CVPR2024/papers/Liu_TACO_Benchmarking_Generalizable_Bimanual_Tool-ACtion-Object_Understanding_CVPR_2024_paper.pdf; official abstract/proceedings metadata</x:v>
      </x:c>
      <x:c r="AM56" t="str">
        <x:v>Abstract-level</x:v>
      </x:c>
      <x:c r="AN56" t="str">
        <x:v>Tool-Action-Object Understanding</x:v>
      </x:c>
      <x:c r="AO56" t="str">
        <x:v>Pending official abstract/full-text verification.</x:v>
      </x:c>
      <x:c r="AP56" t="str">
        <x:v>Unknown</x:v>
      </x:c>
      <x:c r="AQ56" t="str">
        <x:v>Real Robot=No; Dataset/Benchmark/Robot Platform retain Unknown when not verified.</x:v>
      </x:c>
      <x:c r="AR56" t="str">
        <x:v>** 与 NERO 双臂、普通夹爪、示范采集和双臂策略学习直接相关，优先评估动作表示与协同控制是否可迁移。</x:v>
      </x:c>
      <x:c r="AS56" t="str">
        <x:v>Project-stated CCF seventh-edition mapping; official row pending where noted</x:v>
      </x:c>
      <x:c r="AT56" t="str">
        <x:v>Benchmark / Dataset</x:v>
      </x:c>
      <x:c r="AU56" t="n">
        <x:v>37</x:v>
      </x:c>
      <x:c r="AV56" t="str">
        <x:v>Crossref</x:v>
      </x:c>
      <x:c r="AW56" t="str">
        <x:v>2026-09-25</x:v>
      </x:c>
      <x:c r="AX56" t="str">
        <x:v>双手工具—动作—物体理解缺少足够多样且标注完整的数据。</x:v>
      </x:c>
      <x:c r="AY56" t="str">
        <x:v>Unknown / Needs Full-Paper Verification</x:v>
      </x:c>
      <x:c r="AZ56" t="str">
        <x:v>以 `Unknown` 为主要方法/能力线索；更细的结构和消融结论待正文核验。</x:v>
      </x:c>
      <x:c r="BA56" t="str">
        <x:v>TACO：约 2500 条序列及三个基准任务。</x:v>
      </x:c>
      <x:c r="BB56" t="str">
        <x:v>Unknown / Needs Full-Paper Verification</x:v>
      </x:c>
      <x:c r="BC56" t="str">
        <x:v>- 官方题名与元数据已确认；具体表述待补读官方摘要或正文。</x:v>
      </x:c>
      <x:c r="BD56" t="str">
        <x:v>Real Robot 字段为 `No`；Dataset、Benchmark、Robot Platform 中的 Unknown 继续保留，不从题名推断。</x:v>
      </x:c>
      <x:c r="BE56" t="str">
        <x:v>CVPR 官方论文评测组合动作识别、手—物运动预测与协同抓取生成；摘要未给统一成功率。</x:v>
      </x:c>
      <x:c r="BF56" t="str">
        <x:v>Unknown / Needs Full-Paper Verification</x:v>
      </x:c>
      <x:c r="BG56" t="str">
        <x:v>Library Analysis / Research Note: Unknown / Needs Full-Paper Verification</x:v>
      </x:c>
      <x:c r="BH56" t="str">
        <x:v>Unknown</x:v>
      </x:c>
      <x:c r="BI56" t="str">
        <x:v>B</x:v>
      </x:c>
      <x:c r="BJ56"/>
      <x:c r="BK56" t="str">
        <x:v>Unknown / Not Explicitly Reported in the currently accessible sources.</x:v>
      </x:c>
      <x:c r="BL56" t="str">
        <x:v>Unknown / Not Explicitly Reported in the currently accessible sources.</x:v>
      </x:c>
      <x:c r="BM56" t="str">
        <x:v>https://api.crossref.org/works/10.1109/cvpr52733.2024.02054</x:v>
      </x:c>
      <x:c r="BN56" t="str">
        <x:v>https://openaccess.thecvf.com/content/CVPR2024/papers/Liu_TACO_Benchmarking_Generali</x:v>
      </x:c>
      <x:c r="BO56" t="str">
        <x:v>B-Code-Unverified</x:v>
      </x:c>
      <x:c r="BP56" t="str">
        <x:v>Not Found</x:v>
      </x:c>
      <x:c r="BQ56" t="str">
        <x:v>Unavailable</x:v>
      </x:c>
      <x:c r="BR56" t="str">
        <x:v>Unknown</x:v>
      </x:c>
      <x:c r="BS56" t="str">
        <x:v>https://openaccess.thecvf.com/content/CVPR2024/papers/Liu_TACO_Benchmarking_Generalizable_Bimanual_Tool-ACtion-Object_Understanding_CVPR_2024_paper.pdf</x:v>
      </x:c>
      <x:c r="BT56" t="str">
        <x:v>No</x:v>
      </x:c>
      <x:c r="BU56" t="str">
        <x:v>No</x:v>
      </x:c>
      <x:c r="BV56" t="str">
        <x:v>No</x:v>
      </x:c>
      <x:c r="BW56" t="str">
        <x:v>No</x:v>
      </x:c>
      <x:c r="BX56" t="str">
        <x:v>No</x:v>
      </x:c>
      <x:c r="BY56" t="str">
        <x:v>No</x:v>
      </x:c>
      <x:c r="BZ56" t="str">
        <x:v>No</x:v>
      </x:c>
      <x:c r="CA56" t="str">
        <x:v>Matched</x:v>
      </x:c>
      <x:c r="CB56" t="str">
        <x:v>Not Found After Verification</x:v>
      </x:c>
      <x:c r="CC56" t="str">
        <x:v>Not Found After Verification</x:v>
      </x:c>
      <x:c r="CD56" t="str">
        <x:v>Audit logged - deep extraction pending</x:v>
      </x:c>
      <x:c r="CE56" t="str">
        <x:v>false</x:v>
      </x:c>
      <x:c r="CF56"/>
      <x:c r="CG56" t="str">
        <x:v>研究问题：双手工具—动作—物体理解缺少足够多样且标注完整的数据。；之前方法的问题：已有手—物交互数据多集中在单手、单物体场景。；核心思路：TACO 提供约 2500 条双手交互序列、第三人称与第一人称视角、三维网格和动作标签。；输入：官方摘要给出任务/数据类型；具体模型张量与接口需核对方法章节。；输出与动作：官方摘要未明确列出完整控制接口；需核对论文方法或代码。；数据集与评测基准：TACO：约 2500 条序列及三个基准任务。；主要结果：CVPR 官方论文评测组合动作识别、手—物运动预测与协同抓取生成；摘要未给统一成功率。；为什么重要：可用于理解双手协同与工具功能，但人手动作迁移到普通夹爪需验证。；与当前项目的关系：Medium：方法可借鉴，但迁移到当前双臂硬件需验证。；主要局限：本段基于官方摘要；未覆盖全文失败案例、完整 Baseline 与方法消融。</x:v>
      </x:c>
      <x:c r="CH56" t="str">
        <x:v>已有手—物交互数据多集中在单手、单物体场景。</x:v>
      </x:c>
      <x:c r="CI56" t="str">
        <x:v>TACO 提供约 2500 条双手交互序列、第三人称与第一人称视角、三维网格和动作标签。</x:v>
      </x:c>
      <x:c r="CJ56"/>
      <x:c r="CK56" t="str">
        <x:v>CVPR 官方论文评测组合动作识别、手—物运动预测与协同抓取生成；摘要未给统一成功率。</x:v>
      </x:c>
      <x:c r="CL56" t="str">
        <x:v>可用于理解双手协同与工具功能，但人手动作迁移到普通夹爪需验证。</x:v>
      </x:c>
      <x:c r="CM56" t="str">
        <x:v>本段基于官方摘要；未覆盖全文失败案例、完整 Baseline 与方法消融。</x:v>
      </x:c>
      <x:c r="CN56"/>
      <x:c r="CO56" t="str">
        <x:v>Medium：方法可借鉴，但迁移到当前双臂硬件需验证。</x:v>
      </x:c>
      <x:c r="CP56" t="str">
        <x:v>官方摘要/论文页：https://openaccess.thecvf.com/content/CVPR2024/papers/Liu_TACO_Benchmarking_Generalizable_Bimanual_Tool-ACtion-Object_Understanding_CVPR_2024_paper.pdf；核验于 2026-09-23。仅为摘要级速读，原 Evidence Quality 不变。 - 核验层级：摘要有可追溯来源</x:v>
      </x:c>
      <x:c r="CQ56" t="str">
        <x:v>crossref-exact-title-pdf-authors</x:v>
      </x:c>
      <x:c r="CR56" t="n">
        <x:v>0</x:v>
      </x:c>
      <x:c r="CS56" t="n">
        <x:v>1</x:v>
      </x:c>
    </x:row>
    <x:row r="57" ht="58" customHeight="1">
      <x:c r="A57" t="str">
        <x:v>A056</x:v>
      </x:c>
      <x:c r="B57" t="str">
        <x:v>SPIN: Simultaneous Perception, Interaction and Navigation</x:v>
      </x:c>
      <x:c r="C57" t="str">
        <x:v>Uppal, Shagun; Agarwal, Ananye; Xiong, Haoyu; Shaw, Kenneth; Pathak, Deepak</x:v>
      </x:c>
      <x:c r="D57" t="n">
        <x:v>2024</x:v>
      </x:c>
      <x:c r="E57" t="str">
        <x:v>CVPR</x:v>
      </x:c>
      <x:c r="F57" t="str">
        <x:v>A</x:v>
      </x:c>
      <x:c r="G57" t="str">
        <x:v>Official Conference Paper</x:v>
      </x:c>
      <x:c r="H57" t="str">
        <x:v>Method Paper</x:v>
      </x:c>
      <x:c r="I57" t="str">
        <x:v>Robot Manipulation; Generalization</x:v>
      </x:c>
      <x:c r="J57" t="str">
        <x:v>Mobile Manipulation / Navigation</x:v>
      </x:c>
      <x:c r="K57" t="str">
        <x:v>Unknown</x:v>
      </x:c>
      <x:c r="L57" t="e">
        <x:f>HYPERLINK("https://openaccess.thecvf.com/content/CVPR2024/html/Uppal_SPIN_Simultaneous_Perception_Interaction_and_Navigation_CVPR_2024_paper.html","论文")</x:f>
        <x:v>HYPERLINK is not implemented. linkLocation=https://openaccess.thecvf.com/content/CVPR2024/html/Uppal_SPIN_Simultaneous_Perception_Interaction_and_Navigation_CVPR_2024_paper.html, friendlyName=论文</x:v>
      </x:c>
      <x:c r="M57" t="str">
        <x:v>Unknown</x:v>
      </x:c>
      <x:c r="N57" t="str">
        <x:v>Unknown</x:v>
      </x:c>
      <x:c r="O57" t="e">
        <x:f>HYPERLINK("https://spin-robot.github.io","Project")</x:f>
        <x:v>HYPERLINK is not implemented. linkLocation=https://spin-robot.github.io, friendlyName=Project</x:v>
      </x:c>
      <x:c r="P57" t="str">
        <x:v>Unknown</x:v>
      </x:c>
      <x:c r="Q57" t="str">
        <x:v>Unknown</x:v>
      </x:c>
      <x:c r="R57" t="str">
        <x:v>Unknown</x:v>
      </x:c>
      <x:c r="S57" t="str">
        <x:v>Unknown</x:v>
      </x:c>
      <x:c r="T57" t="str">
        <x:v>Unknown</x:v>
      </x:c>
      <x:c r="U57" t="str">
        <x:v>Unknown</x:v>
      </x:c>
      <x:c r="V57" t="str">
        <x:v>Mobile Manipulator</x:v>
      </x:c>
      <x:c r="W57" t="str">
        <x:v>Unknown</x:v>
      </x:c>
      <x:c r="X57" t="str">
        <x:v>Unknown</x:v>
      </x:c>
      <x:c r="Y57" t="str">
        <x:v>Unknown</x:v>
      </x:c>
      <x:c r="Z57" t="str">
        <x:v>Unknown</x:v>
      </x:c>
      <x:c r="AA57" t="str">
        <x:v>Unknown</x:v>
      </x:c>
      <x:c r="AB57" t="str">
        <x:v>Unknown</x:v>
      </x:c>
      <x:c r="AC57" t="str">
        <x:v>P1</x:v>
      </x:c>
      <x:c r="AD57" t="str">
        <x:v>Official proceedings verified; CCF A via user-provided CCF 7th-edition venue mapping</x:v>
      </x:c>
      <x:c r="AE57" t="str">
        <x:v>2026-09-19</x:v>
      </x:c>
      <x:c r="AF57" t="str">
        <x:v>Formal main-conference paper verified from official proceedings. Unchecked metadata remains Unknown.</x:v>
      </x:c>
      <x:c r="AG57" t="str">
        <x:v>CCF A Conference</x:v>
      </x:c>
      <x:c r="AH57" t="str">
        <x:v>Official Conference Paper</x:v>
      </x:c>
      <x:c r="AI57" t="str">
        <x:v>No</x:v>
      </x:c>
      <x:c r="AJ57" t="str">
        <x:v>02_Papers/02_Robot_Manipulation/SPIN.md</x:v>
      </x:c>
      <x:c r="AK57" t="str">
        <x:v>Strict CCF A</x:v>
      </x:c>
      <x:c r="AL57" t="str">
        <x:v>https://openaccess.thecvf.com/content/CVPR2024/html/Uppal_SPIN_Simultaneous_Perception_Interaction_and_Navigation_CVPR_2024_paper.html; official abstract/proceedings metadata</x:v>
      </x:c>
      <x:c r="AM57" t="str">
        <x:v>Abstract-level</x:v>
      </x:c>
      <x:c r="AN57" t="str">
        <x:v>Mobile Manipulation / Navigation</x:v>
      </x:c>
      <x:c r="AO57" t="str">
        <x:v>See canonical card Research Summary; generated only from official abstract-level evidence.</x:v>
      </x:c>
      <x:c r="AP57" t="str">
        <x:v>Unknown</x:v>
      </x:c>
      <x:c r="AQ57" t="str">
        <x:v>Real Robot=Unknown; Dataset/Benchmark/Robot Platform retain Unknown when not verified.</x:v>
      </x:c>
      <x:c r="AR57" t="str">
        <x:v>** 与机器人操作、模仿学习或策略泛化相关；是否进入 L2/L3 取决于与双臂普通夹爪平台的可迁移性。</x:v>
      </x:c>
      <x:c r="AS57" t="str">
        <x:v>Project-stated CCF seventh-edition mapping; official row pending where noted</x:v>
      </x:c>
      <x:c r="AT57" t="str">
        <x:v>Robot Manipulation</x:v>
      </x:c>
      <x:c r="AU57" t="n">
        <x:v>13</x:v>
      </x:c>
      <x:c r="AV57" t="str">
        <x:v>OpenAlex</x:v>
      </x:c>
      <x:c r="AW57" t="str">
        <x:v>2026-09-25</x:v>
      </x:c>
      <x:c r="AX57" t="str">
        <x:v>移动操作既要行走/移动，又要持续感知并及时控制机械臂。</x:v>
      </x:c>
      <x:c r="AY57" t="str">
        <x:v>Unknown / Needs Full-Paper Verification</x:v>
      </x:c>
      <x:c r="AZ57" t="str">
        <x:v>以 `Unknown` 为主要方法/能力线索；更细的结构和消融结论待正文核验。</x:v>
      </x:c>
      <x:c r="BA57" t="str">
        <x:v>移动操作任务；具体平台、数据集和评测协议需查原论文。</x:v>
      </x:c>
      <x:c r="BB57" t="str">
        <x:v>Unknown / Needs Full-Paper Verification</x:v>
      </x:c>
      <x:c r="BC57" t="str">
        <x:v>- In this work we present a reactive mobile manipulation framework that uses an active visual system to consciously perceive and react to its environment.</x:v>
      </x:c>
      <x:c r="BD57" t="str">
        <x:v>Real Robot 字段为 `Unknown`；Dataset、Benchmark、Robot Platform 中的 Unknown 继续保留，不从题名推断。</x:v>
      </x:c>
      <x:c r="BE57" t="str">
        <x:v>已核验摘要未给出可安全复述的统一量化结果。</x:v>
      </x:c>
      <x:c r="BF57" t="str">
        <x:v>Unknown / Needs Full-Paper Verification</x:v>
      </x:c>
      <x:c r="BG57" t="str">
        <x:v>Library Analysis / Research Note: Unknown / Needs Full-Paper Verification</x:v>
      </x:c>
      <x:c r="BH57" t="str">
        <x:v>Unknown</x:v>
      </x:c>
      <x:c r="BI57" t="str">
        <x:v>B</x:v>
      </x:c>
      <x:c r="BJ57"/>
      <x:c r="BK57" t="str">
        <x:v>Unknown / Not Explicitly Reported in the currently accessible sources.</x:v>
      </x:c>
      <x:c r="BL57" t="str">
        <x:v>Unknown / Not Explicitly Reported in the currently accessible sources.</x:v>
      </x:c>
      <x:c r="BM57" t="str">
        <x:v>https://openalex.org/W4402772268</x:v>
      </x:c>
      <x:c r="BN57" t="str">
        <x:v>https://openaccess.thecvf.com/content/CVPR2024/html/Uppal_SPIN_Simultaneous_Perception_Interaction_and_Navigation_CVPR_2024_paper.html；官方摘要/论文集元数据</x:v>
      </x:c>
      <x:c r="BO57" t="str">
        <x:v>B-Code-Unverified</x:v>
      </x:c>
      <x:c r="BP57" t="str">
        <x:v>Not Found</x:v>
      </x:c>
      <x:c r="BQ57" t="str">
        <x:v>Unavailable</x:v>
      </x:c>
      <x:c r="BR57" t="str">
        <x:v>Unknown</x:v>
      </x:c>
      <x:c r="BS57" t="str">
        <x:v>https://openaccess.thecvf.com/content/CVPR2024/papers/Uppal_SPIN_Simultaneous_Perception_Interaction_and_Navigation_CVPR_2024_paper.pdf</x:v>
      </x:c>
      <x:c r="BT57" t="str">
        <x:v>No</x:v>
      </x:c>
      <x:c r="BU57" t="str">
        <x:v>No</x:v>
      </x:c>
      <x:c r="BV57" t="str">
        <x:v>No</x:v>
      </x:c>
      <x:c r="BW57" t="str">
        <x:v>No</x:v>
      </x:c>
      <x:c r="BX57" t="str">
        <x:v>No</x:v>
      </x:c>
      <x:c r="BY57" t="str">
        <x:v>No</x:v>
      </x:c>
      <x:c r="BZ57" t="str">
        <x:v>No</x:v>
      </x:c>
      <x:c r="CA57" t="str">
        <x:v>Matched</x:v>
      </x:c>
      <x:c r="CB57" t="str">
        <x:v>Not Found After Verification</x:v>
      </x:c>
      <x:c r="CC57" t="str">
        <x:v>Not Found After Verification</x:v>
      </x:c>
      <x:c r="CD57" t="str">
        <x:v>Audit logged - deep extraction pending</x:v>
      </x:c>
      <x:c r="CE57" t="str">
        <x:v>false</x:v>
      </x:c>
      <x:c r="CF57"/>
      <x:c r="CG57" t="str">
        <x:v>研究问题：移动操作既要行走/移动，又要持续感知并及时控制机械臂。；之前方法的问题：静态感知或开环策略难以应对移动过程中变化的场景。；核心思路：SPIN 使用主动视觉系统建立反应式移动操作框架，让机器人持续观察环境并调整执行。；数据集与评测基准：移动操作任务；具体平台、数据集和评测协议需查原论文。；主要结果：已核验摘要未给出可安全复述的统一量化结果。；为什么重要：提醒长时序真机任务必须将主动感知与动作闭环结合。；与当前项目的关系：Medium：反应式感知思路相关，但移动平台与本项目固定双臂设置不同。；主要局限：摘要没有明确列出失败案例；需进一步核对实验与限制。</x:v>
      </x:c>
      <x:c r="CH57" t="str">
        <x:v>静态感知或开环策略难以应对移动过程中变化的场景。</x:v>
      </x:c>
      <x:c r="CI57" t="str">
        <x:v>SPIN 使用主动视觉系统建立反应式移动操作框架，让机器人持续观察环境并调整执行。</x:v>
      </x:c>
      <x:c r="CJ57"/>
      <x:c r="CK57" t="str">
        <x:v>已核验摘要未给出可安全复述的统一量化结果。</x:v>
      </x:c>
      <x:c r="CL57" t="str">
        <x:v>提醒长时序真机任务必须将主动感知与动作闭环结合。</x:v>
      </x:c>
      <x:c r="CM57" t="str">
        <x:v>摘要没有明确列出失败案例；需进一步核对实验与限制。</x:v>
      </x:c>
      <x:c r="CN57"/>
      <x:c r="CO57" t="str">
        <x:v>Medium：反应式感知思路相关，但移动平台与本项目固定双臂设置不同。</x:v>
      </x:c>
      <x:c r="CP57" t="str">
        <x:v>官方摘要/论文页; https://openaccess.thecvf.com/content/CVPR2024/html/Uppal_SPIN_Simultaneous_Perception_Interaction_and_Navigation_CVPR_2024_paper.html; 核验于 2026-09-23. 仅为摘要级速读；原 Evidence Quality 不变。 - 核验层级：摘要有可追溯来源</x:v>
      </x:c>
      <x:c r="CQ57" t="str">
        <x:v>title</x:v>
      </x:c>
      <x:c r="CR57" t="n">
        <x:v>0</x:v>
      </x:c>
      <x:c r="CS57" t="n">
        <x:v>1</x:v>
      </x:c>
    </x:row>
    <x:row r="58" ht="58" customHeight="1">
      <x:c r="A58" t="str">
        <x:v>A057</x:v>
      </x:c>
      <x:c r="B58" t="str">
        <x:v>AnyBimanual: Transferring Unimanual Policy for General Bimanual Manipulation</x:v>
      </x:c>
      <x:c r="C58" t="str">
        <x:v>Lu, Guanxing; Yu, Tengbo; Deng, Haoyuan; Chen, Season Si; Tang, Yansong; Wang, Ziwei</x:v>
      </x:c>
      <x:c r="D58" t="n">
        <x:v>2025</x:v>
      </x:c>
      <x:c r="E58" t="str">
        <x:v>ICCV</x:v>
      </x:c>
      <x:c r="F58" t="str">
        <x:v>A</x:v>
      </x:c>
      <x:c r="G58" t="str">
        <x:v>Official Conference Paper</x:v>
      </x:c>
      <x:c r="H58" t="str">
        <x:v>Method Paper</x:v>
      </x:c>
      <x:c r="I58" t="str">
        <x:v>Bimanual Manipulation; Imitation Learning</x:v>
      </x:c>
      <x:c r="J58" t="str">
        <x:v>Policy Transfer / Generalization</x:v>
      </x:c>
      <x:c r="K58" t="str">
        <x:v>Unknown</x:v>
      </x:c>
      <x:c r="L58" t="e">
        <x:f>HYPERLINK("https://openaccess.thecvf.com/content/ICCV2025/html/Lu_AnyBimanual_Transferring_Unimanual_Policy_for_General_Bimanual_Manipulation_ICCV_2025_paper.html","论文")</x:f>
        <x:v>HYPERLINK is not implemented. linkLocation=https://openaccess.thecvf.com/content/ICCV2025/html/Lu_AnyBimanual_Transferring_Unimanual_Policy_for_General_Bimanual_Manipulation_ICCV_2025_paper.html, friendlyName=论文</x:v>
      </x:c>
      <x:c r="M58" t="str">
        <x:v>Unknown</x:v>
      </x:c>
      <x:c r="N58" t="str">
        <x:v>Unknown</x:v>
      </x:c>
      <x:c r="O58" t="str">
        <x:v>Unknown</x:v>
      </x:c>
      <x:c r="P58" t="str">
        <x:v>Unknown</x:v>
      </x:c>
      <x:c r="Q58" t="str">
        <x:v>Unknown</x:v>
      </x:c>
      <x:c r="R58" t="str">
        <x:v>Unknown</x:v>
      </x:c>
      <x:c r="S58" t="str">
        <x:v>Unknown</x:v>
      </x:c>
      <x:c r="T58" t="str">
        <x:v>Unknown</x:v>
      </x:c>
      <x:c r="U58" t="str">
        <x:v>Unknown</x:v>
      </x:c>
      <x:c r="V58" t="str">
        <x:v>Bimanual / Parallel Gripper</x:v>
      </x:c>
      <x:c r="W58" t="str">
        <x:v>Bimanual</x:v>
      </x:c>
      <x:c r="X58" t="str">
        <x:v>Parallel Gripper</x:v>
      </x:c>
      <x:c r="Y58" t="str">
        <x:v>Unknown</x:v>
      </x:c>
      <x:c r="Z58" t="str">
        <x:v>Unknown</x:v>
      </x:c>
      <x:c r="AA58" t="str">
        <x:v>Unknown</x:v>
      </x:c>
      <x:c r="AB58" t="str">
        <x:v>Unknown</x:v>
      </x:c>
      <x:c r="AC58" t="str">
        <x:v>P0</x:v>
      </x:c>
      <x:c r="AD58" t="str">
        <x:v>Official proceedings verified; CCF A via user-provided CCF 7th-edition venue mapping</x:v>
      </x:c>
      <x:c r="AE58" t="str">
        <x:v>2026-09-19</x:v>
      </x:c>
      <x:c r="AF58" t="str">
        <x:v>Formal main-conference paper verified from official proceedings. Unchecked metadata remains Unknown.</x:v>
      </x:c>
      <x:c r="AG58" t="str">
        <x:v>CCF A Conference</x:v>
      </x:c>
      <x:c r="AH58" t="str">
        <x:v>Official Conference Paper</x:v>
      </x:c>
      <x:c r="AI58" t="str">
        <x:v>No</x:v>
      </x:c>
      <x:c r="AJ58" t="str">
        <x:v>02_Papers/03_Bimanual/AnyBimanual.md</x:v>
      </x:c>
      <x:c r="AK58" t="str">
        <x:v>Strict CCF A</x:v>
      </x:c>
      <x:c r="AL58" t="str">
        <x:v>https://openaccess.thecvf.com/content/ICCV2025/html/Lu_AnyBimanual_Transferring_Unimanual_Policy_for_General_Bimanual_Manipulation_ICCV_2025_paper.html; official abstract/proceedings metadata</x:v>
      </x:c>
      <x:c r="AM58" t="str">
        <x:v>Abstract-level</x:v>
      </x:c>
      <x:c r="AN58" t="str">
        <x:v>Policy Transfer / Generalization</x:v>
      </x:c>
      <x:c r="AO58" t="str">
        <x:v>See canonical card Research Summary; generated only from official abstract-level evidence.</x:v>
      </x:c>
      <x:c r="AP58" t="str">
        <x:v>Unknown</x:v>
      </x:c>
      <x:c r="AQ58" t="str">
        <x:v>Real Robot=Unknown; Dataset/Benchmark/Robot Platform retain Unknown when not verified.</x:v>
      </x:c>
      <x:c r="AR58" t="str">
        <x:v>** 与 NERO 双臂、普通夹爪、示范采集和双臂策略学习直接相关，优先评估动作表示与协同控制是否可迁移。</x:v>
      </x:c>
      <x:c r="AS58" t="str">
        <x:v>Project-stated CCF seventh-edition mapping; official row pending where noted</x:v>
      </x:c>
      <x:c r="AT58" t="str">
        <x:v>Bimanual</x:v>
      </x:c>
      <x:c r="AU58" t="n">
        <x:v>0</x:v>
      </x:c>
      <x:c r="AV58" t="str">
        <x:v>OpenAlex</x:v>
      </x:c>
      <x:c r="AW58" t="str">
        <x:v>2026-09-25</x:v>
      </x:c>
      <x:c r="AX58" t="str">
        <x:v>语言条件双臂操作的示范成本高，动作空间也更复杂。</x:v>
      </x:c>
      <x:c r="AY58" t="str">
        <x:v>Unknown / Needs Full-Paper Verification</x:v>
      </x:c>
      <x:c r="AZ58" t="str">
        <x:v>以 `Unknown` 为主要方法/能力线索；更细的结构和消融结论待正文核验。</x:v>
      </x:c>
      <x:c r="BA58" t="str">
        <x:v>12 项仿真任务和 9 项真机任务。</x:v>
      </x:c>
      <x:c r="BB58" t="str">
        <x:v>Unknown / Needs Full-Paper Verification</x:v>
      </x:c>
      <x:c r="BC58" t="str">
        <x:v>- We propose a plug-and-play method named AnyBimanual, which transfers pretrained unimanual policy to general bimanual manipulation policy with few bimanual demonstrations.</x:v>
      </x:c>
      <x:c r="BD58" t="str">
        <x:v>Real Robot 字段为 `Unknown`；Dataset、Benchmark、Robot Platform 中的 Unknown 继续保留，不从题名推断。</x:v>
      </x:c>
      <x:c r="BE58" t="str">
        <x:v>Unknown / Needs Full-Paper Verification</x:v>
      </x:c>
      <x:c r="BF58" t="str">
        <x:v>Unknown / Needs Full-Paper Verification</x:v>
      </x:c>
      <x:c r="BG58" t="str">
        <x:v>Library Analysis / Research Note: Unknown / Needs Full-Paper Verification</x:v>
      </x:c>
      <x:c r="BH58" t="str">
        <x:v>Unknown</x:v>
      </x:c>
      <x:c r="BI58" t="str">
        <x:v>A</x:v>
      </x:c>
      <x:c r="BJ58" t="str">
        <x:v>Idea Clue 1: use AnyBimanual as a baseline for ordinary-gripper dual-arm transfer with controlled demonstration budgets. Evidence: 12 RLBench2 + 9 real tasks and limited bimanual demonstrations. Why relevant: directly matches current bimanual project.</x:v>
      </x:c>
      <x:c r="BK58" t="str">
        <x:v>The accessible arXiv text describes the separate skill-manager and visual-aligner contributions; full ablation numbers were not re-extracted in this batch.</x:v>
      </x:c>
      <x:c r="BL58" t="str">
        <x:v>The paper identifies observation discrepancy between unimanual and bimanual systems as a transfer risk; detailed failure cases require appendix extraction.</x:v>
      </x:c>
      <x:c r="BM58" t="str">
        <x:v>https://openalex.org/W4405254485</x:v>
      </x:c>
      <x:c r="BN58" t="str">
        <x:v>https://openaccess.thecvf.com/content/ICCV2025/html/Lu_AnyBimanual_Transferring_Unimanual_Policy_for_General_Bimanual_Manipulation_ICCV_2025_paper.html；官方摘要/论文集元数据</x:v>
      </x:c>
      <x:c r="BO58" t="str">
        <x:v>A-Upgraded</x:v>
      </x:c>
      <x:c r="BP58" t="str">
        <x:v>Available - Verified</x:v>
      </x:c>
      <x:c r="BQ58" t="str">
        <x:v>Unavailable</x:v>
      </x:c>
      <x:c r="BR58" t="str">
        <x:v>Unknown</x:v>
      </x:c>
      <x:c r="BS58" t="str">
        <x:v>https://openaccess.thecvf.com/content/ICCV2025/papers/Lu_AnyBimanual_Transferring_Unimanual_Policy_for_General_Bimanual_Manipulation_ICCV_2025_paper.pdf</x:v>
      </x:c>
      <x:c r="BT58" t="str">
        <x:v>No</x:v>
      </x:c>
      <x:c r="BU58" t="str">
        <x:v>No</x:v>
      </x:c>
      <x:c r="BV58" t="str">
        <x:v>No</x:v>
      </x:c>
      <x:c r="BW58" t="str">
        <x:v>No</x:v>
      </x:c>
      <x:c r="BX58" t="str">
        <x:v>No</x:v>
      </x:c>
      <x:c r="BY58" t="str">
        <x:v>No</x:v>
      </x:c>
      <x:c r="BZ58" t="str">
        <x:v>No</x:v>
      </x:c>
      <x:c r="CA58" t="str">
        <x:v>Matched</x:v>
      </x:c>
      <x:c r="CB58" t="str">
        <x:v>Not Found After Verification</x:v>
      </x:c>
      <x:c r="CC58" t="str">
        <x:v>Not Found After Verification</x:v>
      </x:c>
      <x:c r="CD58" t="str">
        <x:v>Audit logged - deep extraction pending</x:v>
      </x:c>
      <x:c r="CE58" t="str">
        <x:v>false</x:v>
      </x:c>
      <x:c r="CF58"/>
      <x:c r="CG58" t="str">
        <x:v>研究问题：语言条件双臂操作的示范成本高，动作空间也更复杂。；之前方法的问题：从单臂策略直接迁移到双臂时，两臂观测和动作不一定对齐。；核心思路：用技能管理器安排双臂子技能，并以体素/视觉对齐模块协调两臂输入，使预训练单臂策略可复用。；数据集与评测基准：12 项仿真任务和 9 项真机任务。；为什么重要：提供节约双臂数据成本的一条可测试路线。；与当前项目的关系：High：直接针对从单臂到普通夹爪双臂任务的迁移。；主要局限：仍依赖少量双臂示范，且假设单臂预训练表示可以复用。</x:v>
      </x:c>
      <x:c r="CH58" t="str">
        <x:v>从单臂策略直接迁移到双臂时，两臂观测和动作不一定对齐。</x:v>
      </x:c>
      <x:c r="CI58" t="str">
        <x:v>用技能管理器安排双臂子技能，并以体素/视觉对齐模块协调两臂输入，使预训练单臂策略可复用。</x:v>
      </x:c>
      <x:c r="CJ58" t="str">
        <x:v>Compared with prior bimanual manipulation methods on RLBench2 and real-world tasks; the abstract reports superiority over previous methods without naming every baseline.</x:v>
      </x:c>
      <x:c r="CK58" t="str">
        <x:v>卡片记录仿真成功率较先前方法提高 12.67%，真机任务平均成功率为 84.62%。</x:v>
      </x:c>
      <x:c r="CL58" t="str">
        <x:v>提供节约双臂数据成本的一条可测试路线。</x:v>
      </x:c>
      <x:c r="CM58" t="str">
        <x:v>仍依赖少量双臂示范，且假设单臂预训练表示可以复用。</x:v>
      </x:c>
      <x:c r="CN58" t="str">
        <x:v>Library Analysis: transfer under substantially different grippers, camera layouts and contact-rich coordination remains an open validation target.</x:v>
      </x:c>
      <x:c r="CO58" t="str">
        <x:v>High：直接针对从单臂到普通夹爪双臂任务的迁移。</x:v>
      </x:c>
      <x:c r="CP58" t="str">
        <x:v>官方摘要/论文页; https://arxiv.org/html/2412.06779; 核验于 2026-09-23. 仅为摘要级速读；原 Evidence Quality 不变。 - 核验层级：摘要有可追溯来源</x:v>
      </x:c>
      <x:c r="CQ58" t="str">
        <x:v>title</x:v>
      </x:c>
      <x:c r="CR58" t="n">
        <x:v>8</x:v>
      </x:c>
      <x:c r="CS58" t="n">
        <x:v>1</x:v>
      </x:c>
    </x:row>
    <x:row r="59" ht="58" customHeight="1">
      <x:c r="A59" t="str">
        <x:v>A058</x:v>
      </x:c>
      <x:c r="B59" t="str">
        <x:v>UniDex: A Robot Foundation Suite for Universal Dexterous Hand Control from Egocentric Human Videos</x:v>
      </x:c>
      <x:c r="C59" t="str">
        <x:v>Zhang, Gu; Xu, Qicheng; Zhang, Haozhe; Ma, Jianhan; He, Long; Bao, Yiming; Ping, Zeyu; Yuan, Zhecheng; Lu, Chenhao; Yuan, Chengbo; Liang, Tianhai; Tian, Xiaoyu; Shao, Maanping; Zhang, Feihong; Ding, Mingyu; Gao, Yang; Zhao, Hao; Zhao, Hang; Xu, Huazhe</x:v>
      </x:c>
      <x:c r="D59" t="n">
        <x:v>2026</x:v>
      </x:c>
      <x:c r="E59" t="str">
        <x:v>CVPR</x:v>
      </x:c>
      <x:c r="F59" t="str">
        <x:v>A</x:v>
      </x:c>
      <x:c r="G59" t="str">
        <x:v>Official Conference Paper</x:v>
      </x:c>
      <x:c r="H59" t="str">
        <x:v>System / Platform</x:v>
      </x:c>
      <x:c r="I59" t="str">
        <x:v>VLA; Dexterous Manipulation; Dataset / Benchmark</x:v>
      </x:c>
      <x:c r="J59" t="str">
        <x:v>Cross-Embodiment / Human Video</x:v>
      </x:c>
      <x:c r="K59" t="str">
        <x:v>Unknown</x:v>
      </x:c>
      <x:c r="L59" t="e">
        <x:f>HYPERLINK("https://openaccess.thecvf.com/content/CVPR2026/html/Zhang_UniDex_A_Robot_Foundation_Suite_for_Universal_Dexterous_Hand_Control_CVPR_2026_paper.html","论文")</x:f>
        <x:v>HYPERLINK is not implemented. linkLocation=https://openaccess.thecvf.com/content/CVPR2026/html/Zhang_UniDex_A_Robot_Foundation_Suite_for_Universal_Dexterous_Hand_Control_CVPR_2026_paper.html, friendlyName=论文</x:v>
      </x:c>
      <x:c r="M59" t="str">
        <x:v>Unknown</x:v>
      </x:c>
      <x:c r="N59" t="str">
        <x:v>Unknown</x:v>
      </x:c>
      <x:c r="O59" t="str">
        <x:v>Unknown</x:v>
      </x:c>
      <x:c r="P59" t="str">
        <x:v>Unknown</x:v>
      </x:c>
      <x:c r="Q59" t="str">
        <x:v>Unknown</x:v>
      </x:c>
      <x:c r="R59" t="str">
        <x:v>Unknown</x:v>
      </x:c>
      <x:c r="S59" t="str">
        <x:v>Unknown</x:v>
      </x:c>
      <x:c r="T59" t="str">
        <x:v>Unknown</x:v>
      </x:c>
      <x:c r="U59" t="str">
        <x:v>Unknown</x:v>
      </x:c>
      <x:c r="V59" t="str">
        <x:v>Dexterous Hand / Multi-Embodiment</x:v>
      </x:c>
      <x:c r="W59" t="str">
        <x:v>Unknown</x:v>
      </x:c>
      <x:c r="X59" t="str">
        <x:v>Dexterous Hand</x:v>
      </x:c>
      <x:c r="Y59" t="str">
        <x:v>Yes</x:v>
      </x:c>
      <x:c r="Z59" t="str">
        <x:v>Unknown</x:v>
      </x:c>
      <x:c r="AA59" t="str">
        <x:v>Unknown</x:v>
      </x:c>
      <x:c r="AB59" t="str">
        <x:v>Unknown</x:v>
      </x:c>
      <x:c r="AC59" t="str">
        <x:v>P0</x:v>
      </x:c>
      <x:c r="AD59" t="str">
        <x:v>Official proceedings verified; CCF A via user-provided CCF 7th-edition venue mapping</x:v>
      </x:c>
      <x:c r="AE59" t="str">
        <x:v>2026-09-19</x:v>
      </x:c>
      <x:c r="AF59" t="str">
        <x:v>Formal main-conference paper verified from official proceedings. Unchecked metadata remains Unknown.</x:v>
      </x:c>
      <x:c r="AG59" t="str">
        <x:v>CCF A Conference</x:v>
      </x:c>
      <x:c r="AH59" t="str">
        <x:v>Official Conference Paper</x:v>
      </x:c>
      <x:c r="AI59" t="str">
        <x:v>No</x:v>
      </x:c>
      <x:c r="AJ59" t="str">
        <x:v>02_Papers/04_Dexterous/UniDex.md</x:v>
      </x:c>
      <x:c r="AK59" t="str">
        <x:v>Strict CCF A</x:v>
      </x:c>
      <x:c r="AL59" t="str">
        <x:v>https://openaccess.thecvf.com/content/CVPR2026/html/Zhang_UniDex_A_Robot_Foundation_Suite_for_Universal_Dexterous_Hand_Control_CVPR_2026_paper.html; official abstract/proceedings metadata</x:v>
      </x:c>
      <x:c r="AM59" t="str">
        <x:v>Abstract-level</x:v>
      </x:c>
      <x:c r="AN59" t="str">
        <x:v>Cross-Embodiment / Human Video</x:v>
      </x:c>
      <x:c r="AO59" t="str">
        <x:v>See canonical card Research Summary; generated only from official abstract-level evidence.</x:v>
      </x:c>
      <x:c r="AP59" t="str">
        <x:v>Unknown</x:v>
      </x:c>
      <x:c r="AQ59" t="str">
        <x:v>Real Robot=Yes; Dataset/Benchmark/Robot Platform retain Unknown when not verified.</x:v>
      </x:c>
      <x:c r="AR59" t="str">
        <x:v>** 对灵巧操作扩展有参考价值；当前普通夹爪主线需区分可迁移的学习方法与依赖多指硬件的部分。</x:v>
      </x:c>
      <x:c r="AS59" t="str">
        <x:v>Project-stated CCF seventh-edition mapping; official row pending where noted</x:v>
      </x:c>
      <x:c r="AT59" t="str">
        <x:v>Dexterous</x:v>
      </x:c>
      <x:c r="AU59" t="n">
        <x:v>0</x:v>
      </x:c>
      <x:c r="AV59" t="str">
        <x:v>OpenAlex</x:v>
      </x:c>
      <x:c r="AW59" t="str">
        <x:v>2026-09-25</x:v>
      </x:c>
      <x:c r="AX59" t="str">
        <x:v>通用灵巧操作受昂贵遥操作数据、不同手型和高维动作影响。</x:v>
      </x:c>
      <x:c r="AY59" t="str">
        <x:v>Unknown / Needs Full-Paper Verification</x:v>
      </x:c>
      <x:c r="AZ59" t="str">
        <x:v>以 `Unknown` 为主要方法/能力线索；更细的结构和消融结论待正文核验。</x:v>
      </x:c>
      <x:c r="BA59" t="str">
        <x:v>已核验摘要未明确说明；需查阅论文方法与实验章节。</x:v>
      </x:c>
      <x:c r="BB59" t="str">
        <x:v>Unknown / Needs Full-Paper Verification</x:v>
      </x:c>
      <x:c r="BC59" t="str">
        <x:v>- We present UniDex, a robot foundation suite that couples a large-scale robot-centric dataset with a unified vision-language-action (VLA) policy and a practical human-data capture setup for universal dexterous hand control.</x:v>
      </x:c>
      <x:c r="BD59" t="str">
        <x:v>Real Robot 字段为 `Yes`；Dataset、Benchmark、Robot Platform 中的 Unknown 继续保留，不从题名推断。</x:v>
      </x:c>
      <x:c r="BE59" t="str">
        <x:v>Unknown / Needs Full-Paper Verification</x:v>
      </x:c>
      <x:c r="BF59" t="str">
        <x:v>Unknown / Needs Full-Paper Verification</x:v>
      </x:c>
      <x:c r="BG59" t="str">
        <x:v>Library Analysis / Research Note: Unknown / Needs Full-Paper Verification</x:v>
      </x:c>
      <x:c r="BH59" t="str">
        <x:v>Unknown</x:v>
      </x:c>
      <x:c r="BI59" t="str">
        <x:v>A</x:v>
      </x:c>
      <x:c r="BJ59" t="str">
        <x:v>Idea Clue 1: borrow FAAS-style functional action grouping for dual-arm gripper role transfer. Evidence: unified cross-hand action coordinates. Why relevant: possible bridge from dexterous data to ordinary-gripper control.</x:v>
      </x:c>
      <x:c r="BK59" t="str">
        <x:v>Not Reported in the accessible official abstract evidence.</x:v>
      </x:c>
      <x:c r="BL59" t="str">
        <x:v>Cross-hand and retargeting edge cases are not detailed in the accessible abstract; full supplementary review is needed.</x:v>
      </x:c>
      <x:c r="BM59" t="str">
        <x:v>https://openalex.org/W7140228196</x:v>
      </x:c>
      <x:c r="BN59" t="str">
        <x:v>https://openaccess.thecvf.com/content/CVPR2026/html/Zhang_UniDex_A_Robot_Foundation_Suite_for_Universal_Dexterous_Hand_Control_CVPR_2026_paper.html；官方摘要/论文集元数据</x:v>
      </x:c>
      <x:c r="BO59" t="str">
        <x:v>A-Upgraded</x:v>
      </x:c>
      <x:c r="BP59" t="str">
        <x:v>Available - Verified</x:v>
      </x:c>
      <x:c r="BQ59" t="str">
        <x:v>Unavailable</x:v>
      </x:c>
      <x:c r="BR59" t="str">
        <x:v>Unknown</x:v>
      </x:c>
      <x:c r="BS59" t="str">
        <x:v>https://openaccess.thecvf.com/content/CVPR2026/papers/Zhang_UniDex_A_Robot_Foundation_Suite_for_Universal_Dexterous_Hand_Control_CVPR_2026_paper.pdf</x:v>
      </x:c>
      <x:c r="BT59" t="str">
        <x:v>No</x:v>
      </x:c>
      <x:c r="BU59" t="str">
        <x:v>No</x:v>
      </x:c>
      <x:c r="BV59" t="str">
        <x:v>No</x:v>
      </x:c>
      <x:c r="BW59" t="str">
        <x:v>No</x:v>
      </x:c>
      <x:c r="BX59" t="str">
        <x:v>No</x:v>
      </x:c>
      <x:c r="BY59" t="str">
        <x:v>No</x:v>
      </x:c>
      <x:c r="BZ59" t="str">
        <x:v>No</x:v>
      </x:c>
      <x:c r="CA59" t="str">
        <x:v>Matched</x:v>
      </x:c>
      <x:c r="CB59" t="str">
        <x:v>Not Found After Verification</x:v>
      </x:c>
      <x:c r="CC59" t="str">
        <x:v>Not Found After Verification</x:v>
      </x:c>
      <x:c r="CD59" t="str">
        <x:v>Audit logged - deep extraction pending</x:v>
      </x:c>
      <x:c r="CE59" t="str">
        <x:v>false</x:v>
      </x:c>
      <x:c r="CF59"/>
      <x:c r="CG59" t="str">
        <x:v>研究问题：通用灵巧操作受昂贵遥操作数据、不同手型和高维动作影响。；之前方法的问题：人类视频中的动作不能直接变成各机器人手的控制命令。；核心思路：UniDex 结合人类视频、人工参与的动作重定向和三维点云，形成机器人中心的训练轨迹。；为什么重要：展示如何把人类视频与机器人可执行轨迹连接起来。；与当前项目的关系：Medium：采集与重定向思路相关，但普通夹爪动作空间不同。；主要局限：跨手型与零样本表现需按任务和平台逐项核验。</x:v>
      </x:c>
      <x:c r="CH59" t="str">
        <x:v>人类视频中的动作不能直接变成各机器人手的控制命令。</x:v>
      </x:c>
      <x:c r="CI59" t="str">
        <x:v>UniDex 结合人类视频、人工参与的动作重定向和三维点云，形成机器人中心的训练轨迹。</x:v>
      </x:c>
      <x:c r="CJ59" t="str">
        <x:v>Official CVPR abstract reports outperforming prior VLA baselines by a large margin; exact baseline names and table metrics require full PDF extraction.</x:v>
      </x:c>
      <x:c r="CK59" t="str">
        <x:v>卡片记录 UniDex-VLA 在报告的工具使用任务中平均任务进度为 81%。</x:v>
      </x:c>
      <x:c r="CL59" t="str">
        <x:v>展示如何把人类视频与机器人可执行轨迹连接起来。</x:v>
      </x:c>
      <x:c r="CM59" t="str">
        <x:v>跨手型与零样本表现需按任务和平台逐项核验。</x:v>
      </x:c>
      <x:c r="CN59" t="str">
        <x:v>Library Analysis: transfer from dexterous-hand action spaces to ordinary parallel grippers remains untested by this card.</x:v>
      </x:c>
      <x:c r="CO59" t="str">
        <x:v>Medium：采集与重定向思路相关，但普通夹爪动作空间不同。</x:v>
      </x:c>
      <x:c r="CP59" t="str">
        <x:v>官方摘要/论文页; https://openaccess.thecvf.com/content/CVPR2026/html/Zhang_UniDex_A_Robot_Foundation_Suite_for_Universal_Dexterous_Hand_Control_CVPR_2026_paper.html; 核验于 2026-09-23. 仅为摘要级速读；原 Evidence Quality 不变。 - 核验层级：摘要有可追溯来源</x:v>
      </x:c>
      <x:c r="CQ59" t="str">
        <x:v>title</x:v>
      </x:c>
      <x:c r="CR59" t="n">
        <x:v>0</x:v>
      </x:c>
      <x:c r="CS59" t="n">
        <x:v>1</x:v>
      </x:c>
    </x:row>
    <x:row r="60" ht="58" customHeight="1">
      <x:c r="A60" t="str">
        <x:v>A059</x:v>
      </x:c>
      <x:c r="B60" t="str">
        <x:v>TASTE-Rob: Advancing Video Generation of Task-Oriented Hand-Object Interaction for Generalizable Robotic Manipulation</x:v>
      </x:c>
      <x:c r="C60" t="str">
        <x:v>Zhao, Hongxiang; Liu, Xingchen; Xu, Mutian; Hao, Yiming; Chen, Weikai; Han, Xiaoguang</x:v>
      </x:c>
      <x:c r="D60" t="n">
        <x:v>2025</x:v>
      </x:c>
      <x:c r="E60" t="str">
        <x:v>CVPR</x:v>
      </x:c>
      <x:c r="F60" t="str">
        <x:v>A</x:v>
      </x:c>
      <x:c r="G60" t="str">
        <x:v>Official Conference Paper</x:v>
      </x:c>
      <x:c r="H60" t="str">
        <x:v>Method Paper</x:v>
      </x:c>
      <x:c r="I60" t="str">
        <x:v>Robot Manipulation; Generalization</x:v>
      </x:c>
      <x:c r="J60" t="str">
        <x:v>Video Generation / Hand-Object Interaction</x:v>
      </x:c>
      <x:c r="K60" t="str">
        <x:v>Unknown</x:v>
      </x:c>
      <x:c r="L60" t="e">
        <x:f>HYPERLINK("https://openaccess.thecvf.com/content/CVPR2025/html/Zhao_TASTE-Rob_Advancing_Video_Generation_of_Task-Oriented_Hand-Object_Interaction_for_Generalizable_CVPR_2025_paper.html","论文")</x:f>
        <x:v>HYPERLINK is not implemented. linkLocation=https://openaccess.thecvf.com/content/CVPR2025/html/Zhao_TASTE-Rob_Advancing_Video_Generation_of_Task-Oriented_Hand-Object_Interaction_for_Generalizable_CVPR_2025_paper.html, friendlyName=论文</x:v>
      </x:c>
      <x:c r="M60" t="str">
        <x:v>Unknown</x:v>
      </x:c>
      <x:c r="N60" t="str">
        <x:v>Unknown</x:v>
      </x:c>
      <x:c r="O60" t="str">
        <x:v>Unknown</x:v>
      </x:c>
      <x:c r="P60" t="str">
        <x:v>Unknown</x:v>
      </x:c>
      <x:c r="Q60" t="str">
        <x:v>Unknown</x:v>
      </x:c>
      <x:c r="R60" t="str">
        <x:v>Unknown</x:v>
      </x:c>
      <x:c r="S60" t="str">
        <x:v>Unknown</x:v>
      </x:c>
      <x:c r="T60" t="str">
        <x:v>Unknown</x:v>
      </x:c>
      <x:c r="U60" t="str">
        <x:v>Unknown</x:v>
      </x:c>
      <x:c r="V60" t="str">
        <x:v>Unknown</x:v>
      </x:c>
      <x:c r="W60" t="str">
        <x:v>Unknown</x:v>
      </x:c>
      <x:c r="X60" t="str">
        <x:v>Unknown</x:v>
      </x:c>
      <x:c r="Y60" t="str">
        <x:v>Unknown</x:v>
      </x:c>
      <x:c r="Z60" t="str">
        <x:v>Unknown</x:v>
      </x:c>
      <x:c r="AA60" t="str">
        <x:v>Unknown</x:v>
      </x:c>
      <x:c r="AB60" t="str">
        <x:v>Unknown</x:v>
      </x:c>
      <x:c r="AC60" t="str">
        <x:v>P1</x:v>
      </x:c>
      <x:c r="AD60" t="str">
        <x:v>Official proceedings verified; CCF A via user-provided CCF 7th-edition venue mapping</x:v>
      </x:c>
      <x:c r="AE60" t="str">
        <x:v>2026-09-19</x:v>
      </x:c>
      <x:c r="AF60" t="str">
        <x:v>Formal main-conference paper verified from official proceedings. Unchecked metadata remains Unknown.</x:v>
      </x:c>
      <x:c r="AG60" t="str">
        <x:v>CCF A Conference</x:v>
      </x:c>
      <x:c r="AH60" t="str">
        <x:v>Official Conference Paper</x:v>
      </x:c>
      <x:c r="AI60" t="str">
        <x:v>No</x:v>
      </x:c>
      <x:c r="AJ60" t="str">
        <x:v>02_Papers/07_Generalization_LongHorizon/TASTE-Rob.md</x:v>
      </x:c>
      <x:c r="AK60" t="str">
        <x:v>Strict CCF A</x:v>
      </x:c>
      <x:c r="AL60" t="str">
        <x:v>https://openaccess.thecvf.com/content/CVPR2025/html/Zhao_TASTE-Rob_Advancing_Video_Generation_of_Task-Oriented_Hand-Object_Interaction_for_Generalizable_CVPR_2025_paper.html; official abstract/proceedings metadata</x:v>
      </x:c>
      <x:c r="AM60" t="str">
        <x:v>Abstract-level</x:v>
      </x:c>
      <x:c r="AN60" t="str">
        <x:v>Video Generation / Hand-Object Interaction</x:v>
      </x:c>
      <x:c r="AO60" t="str">
        <x:v>See canonical card Research Summary; generated only from official abstract-level evidence.</x:v>
      </x:c>
      <x:c r="AP60" t="str">
        <x:v>Unknown</x:v>
      </x:c>
      <x:c r="AQ60" t="str">
        <x:v>Real Robot=Unknown; Dataset/Benchmark/Robot Platform retain Unknown when not verified.</x:v>
      </x:c>
      <x:c r="AR60" t="str">
        <x:v>** 对灵巧操作扩展有参考价值；当前普通夹爪主线需区分可迁移的学习方法与依赖多指硬件的部分。</x:v>
      </x:c>
      <x:c r="AS60" t="str">
        <x:v>Project-stated CCF seventh-edition mapping; official row pending where noted</x:v>
      </x:c>
      <x:c r="AT60" t="str">
        <x:v>Generalization / Long-Horizon</x:v>
      </x:c>
      <x:c r="AU60" t="n">
        <x:v>3</x:v>
      </x:c>
      <x:c r="AV60" t="str">
        <x:v>Crossref</x:v>
      </x:c>
      <x:c r="AW60" t="str">
        <x:v>2026-09-25</x:v>
      </x:c>
      <x:c r="AX60" t="str">
        <x:v>任务导向的人手—物体视频生成缺少足够数据和精准姿态。</x:v>
      </x:c>
      <x:c r="AY60" t="str">
        <x:v>Unknown / Needs Full-Paper Verification</x:v>
      </x:c>
      <x:c r="AZ60" t="str">
        <x:v>以 `Unknown` 为主要方法/能力线索；更细的结构和消融结论待正文核验。</x:v>
      </x:c>
      <x:c r="BA60" t="str">
        <x:v>已核验摘要未明确说明；需查阅论文方法与实验章节。</x:v>
      </x:c>
      <x:c r="BB60" t="str">
        <x:v>Unknown / Needs Full-Paper Verification</x:v>
      </x:c>
      <x:c r="BC60" t="str">
        <x:v>- Towards this end, we introduce TASTE-Rob -- a pioneering large-scale dataset of 100,856 ego-centric hand-object interaction videos.</x:v>
      </x:c>
      <x:c r="BD60" t="str">
        <x:v>Real Robot 字段为 `Unknown`；Dataset、Benchmark、Robot Platform 中的 Unknown 继续保留，不从题名推断。</x:v>
      </x:c>
      <x:c r="BE60" t="str">
        <x:v>作者报告数据与姿态细化带来生成质量提升；具体指标见论文。</x:v>
      </x:c>
      <x:c r="BF60" t="str">
        <x:v>Unknown / Needs Full-Paper Verification</x:v>
      </x:c>
      <x:c r="BG60" t="str">
        <x:v>Library Analysis / Research Note: Unknown / Needs Full-Paper Verification</x:v>
      </x:c>
      <x:c r="BH60" t="str">
        <x:v>Unknown</x:v>
      </x:c>
      <x:c r="BI60" t="str">
        <x:v>B</x:v>
      </x:c>
      <x:c r="BJ60"/>
      <x:c r="BK60" t="str">
        <x:v>Unknown / Not Explicitly Reported in the currently accessible sources.</x:v>
      </x:c>
      <x:c r="BL60" t="str">
        <x:v>Unknown / Not Explicitly Reported in the currently accessible sources.</x:v>
      </x:c>
      <x:c r="BM60" t="str">
        <x:v>https://api.crossref.org/works/10.1109/cvpr52734.2025.02578</x:v>
      </x:c>
      <x:c r="BN60" t="str">
        <x:v>https://openaccess.thecvf.com/content/CVPR2025/html/</x:v>
      </x:c>
      <x:c r="BO60" t="str">
        <x:v>B-Code-Unverified</x:v>
      </x:c>
      <x:c r="BP60" t="str">
        <x:v>Not Found</x:v>
      </x:c>
      <x:c r="BQ60" t="str">
        <x:v>Unavailable</x:v>
      </x:c>
      <x:c r="BR60" t="str">
        <x:v>Unknown</x:v>
      </x:c>
      <x:c r="BS60" t="str">
        <x:v>https://openaccess.thecvf.com/content/CVPR2025/papers/Zhao_TASTE-Rob_Advancing_Video_Generation_of_Task-Oriented_Hand-Object_Interaction_for_Generalizable_CVPR_2025_paper.pdf</x:v>
      </x:c>
      <x:c r="BT60" t="str">
        <x:v>No</x:v>
      </x:c>
      <x:c r="BU60" t="str">
        <x:v>No</x:v>
      </x:c>
      <x:c r="BV60" t="str">
        <x:v>No</x:v>
      </x:c>
      <x:c r="BW60" t="str">
        <x:v>No</x:v>
      </x:c>
      <x:c r="BX60" t="str">
        <x:v>No</x:v>
      </x:c>
      <x:c r="BY60" t="str">
        <x:v>No</x:v>
      </x:c>
      <x:c r="BZ60" t="str">
        <x:v>No</x:v>
      </x:c>
      <x:c r="CA60" t="str">
        <x:v>Matched</x:v>
      </x:c>
      <x:c r="CB60" t="str">
        <x:v>Not Found After Verification</x:v>
      </x:c>
      <x:c r="CC60" t="str">
        <x:v>Not Found After Verification</x:v>
      </x:c>
      <x:c r="CD60" t="str">
        <x:v>Audit logged - deep extraction pending</x:v>
      </x:c>
      <x:c r="CE60" t="str">
        <x:v>false</x:v>
      </x:c>
      <x:c r="CF60"/>
      <x:c r="CG60" t="str">
        <x:v>研究问题：任务导向的人手—物体视频生成缺少足够数据和精准姿态。；之前方法的问题：普通生成视频不一定保留与机器人操作有关的接触和动作结构。；核心思路：TASTE-Rob 建立约 100,856 条第一人称手—物交互数据，并加入姿态细化以生成任务相关视频。；主要结果：作者报告数据与姿态细化带来生成质量提升；具体指标见论文。；为什么重要：可作为从人类视频提取操作结构的数据来源。；与当前项目的关系：Medium：人手动作转双普通夹爪仍需重定向。；主要局限：视频生成质量不能直接代表真机操作成功。</x:v>
      </x:c>
      <x:c r="CH60" t="str">
        <x:v>普通生成视频不一定保留与机器人操作有关的接触和动作结构。</x:v>
      </x:c>
      <x:c r="CI60" t="str">
        <x:v>TASTE-Rob 建立约 100,856 条第一人称手—物交互数据，并加入姿态细化以生成任务相关视频。</x:v>
      </x:c>
      <x:c r="CJ60"/>
      <x:c r="CK60" t="str">
        <x:v>作者报告数据与姿态细化带来生成质量提升；具体指标见论文。</x:v>
      </x:c>
      <x:c r="CL60" t="str">
        <x:v>可作为从人类视频提取操作结构的数据来源。</x:v>
      </x:c>
      <x:c r="CM60" t="str">
        <x:v>视频生成质量不能直接代表真机操作成功。</x:v>
      </x:c>
      <x:c r="CN60"/>
      <x:c r="CO60" t="str">
        <x:v>Medium：人手动作转双普通夹爪仍需重定向。</x:v>
      </x:c>
      <x:c r="CP60" t="str">
        <x:v>官方摘要/论文页; https://openaccess.thecvf.com/content/CVPR2025/html/Zhao_TASTE-Rob_Advancing_Video_Generation_of_Task-Oriented_Hand-Object_Interaction_for_Generalizable_CVPR_2025_paper.html; 核验于 2026-09-23. 仅为摘要级速读；原 Evidence Quality 不变。 - 核验层级：摘要有可追溯来源</x:v>
      </x:c>
      <x:c r="CQ60" t="str">
        <x:v>crossref-exact-title-pdf-authors</x:v>
      </x:c>
      <x:c r="CR60" t="n">
        <x:v>0</x:v>
      </x:c>
      <x:c r="CS60" t="n">
        <x:v>3</x:v>
      </x:c>
    </x:row>
    <x:row r="61" ht="58" customHeight="1">
      <x:c r="A61" t="str">
        <x:v>A060</x:v>
      </x:c>
      <x:c r="B61" t="str">
        <x:v>Dexterous Manipulation Transfer via Progressive Kinematic-Dynamic Alignment</x:v>
      </x:c>
      <x:c r="C61" t="str">
        <x:v>Unknown</x:v>
      </x:c>
      <x:c r="D61" t="n">
        <x:v>2026</x:v>
      </x:c>
      <x:c r="E61" t="str">
        <x:v>AAAI</x:v>
      </x:c>
      <x:c r="F61" t="str">
        <x:v>A</x:v>
      </x:c>
      <x:c r="G61" t="str">
        <x:v>Official Conference Paper</x:v>
      </x:c>
      <x:c r="H61" t="str">
        <x:v>Method Paper</x:v>
      </x:c>
      <x:c r="I61" t="str">
        <x:v>Dexterous Manipulation; Imitation Learning</x:v>
      </x:c>
      <x:c r="J61" t="str">
        <x:v>Human Video / Motion Retargeting</x:v>
      </x:c>
      <x:c r="K61" t="str">
        <x:v>Unknown</x:v>
      </x:c>
      <x:c r="L61" t="e">
        <x:f>HYPERLINK("https://ojs.aaai.org/index.php/AAAI/article/view/38874","论文")</x:f>
        <x:v>HYPERLINK is not implemented. linkLocation=https://ojs.aaai.org/index.php/AAAI/article/view/38874, friendlyName=论文</x:v>
      </x:c>
      <x:c r="M61" t="e">
        <x:f>HYPERLINK("https://doi.org/10.1609/aaai.v40i22.38874","DOI")</x:f>
        <x:v>HYPERLINK is not implemented. linkLocation=https://doi.org/10.1609/aaai.v40i22.38874, friendlyName=DOI</x:v>
      </x:c>
      <x:c r="N61" t="str">
        <x:v>Unknown</x:v>
      </x:c>
      <x:c r="O61" t="str">
        <x:v>Unknown</x:v>
      </x:c>
      <x:c r="P61" t="str">
        <x:v>Unknown</x:v>
      </x:c>
      <x:c r="Q61" t="str">
        <x:v>Unknown</x:v>
      </x:c>
      <x:c r="R61" t="str">
        <x:v>Unknown</x:v>
      </x:c>
      <x:c r="S61" t="str">
        <x:v>Unknown</x:v>
      </x:c>
      <x:c r="T61" t="str">
        <x:v>Unknown</x:v>
      </x:c>
      <x:c r="U61" t="str">
        <x:v>Unknown</x:v>
      </x:c>
      <x:c r="V61" t="str">
        <x:v>Dexterous Hand</x:v>
      </x:c>
      <x:c r="W61" t="str">
        <x:v>Unknown</x:v>
      </x:c>
      <x:c r="X61" t="str">
        <x:v>Dexterous Hand</x:v>
      </x:c>
      <x:c r="Y61" t="str">
        <x:v>Unknown</x:v>
      </x:c>
      <x:c r="Z61" t="str">
        <x:v>Unknown</x:v>
      </x:c>
      <x:c r="AA61" t="str">
        <x:v>Unknown</x:v>
      </x:c>
      <x:c r="AB61" t="str">
        <x:v>Unknown</x:v>
      </x:c>
      <x:c r="AC61" t="str">
        <x:v>P0</x:v>
      </x:c>
      <x:c r="AD61" t="str">
        <x:v>Official proceedings verified; CCF A via user-provided CCF 7th-edition venue mapping</x:v>
      </x:c>
      <x:c r="AE61" t="str">
        <x:v>2026-09-19</x:v>
      </x:c>
      <x:c r="AF61" t="str">
        <x:v>Formal main-conference paper verified from official proceedings. Unchecked metadata remains Unknown.</x:v>
      </x:c>
      <x:c r="AG61" t="str">
        <x:v>CCF A Conference</x:v>
      </x:c>
      <x:c r="AH61" t="str">
        <x:v>Official Conference Paper</x:v>
      </x:c>
      <x:c r="AI61" t="str">
        <x:v>No</x:v>
      </x:c>
      <x:c r="AJ61" t="str">
        <x:v>02_Papers/04_Dexterous/Dexterous_Manipulation_Transfer_via_Progressive_Kinematic-Dynamic_Alignment.md</x:v>
      </x:c>
      <x:c r="AK61" t="str">
        <x:v>Strict CCF A</x:v>
      </x:c>
      <x:c r="AL61" t="str">
        <x:v>https://ojs.aaai.org/index.php/AAAI/article/view/38874; official abstract/proceedings metadata</x:v>
      </x:c>
      <x:c r="AM61" t="str">
        <x:v>Abstract-level</x:v>
      </x:c>
      <x:c r="AN61" t="str">
        <x:v>Human Video / Motion Retargeting</x:v>
      </x:c>
      <x:c r="AO61" t="str">
        <x:v>Pending official abstract/full-text verification.</x:v>
      </x:c>
      <x:c r="AP61" t="str">
        <x:v>Unknown</x:v>
      </x:c>
      <x:c r="AQ61" t="str">
        <x:v>Real Robot=Unknown; Dataset/Benchmark/Robot Platform retain Unknown when not verified.</x:v>
      </x:c>
      <x:c r="AR61" t="str">
        <x:v>** 对灵巧操作扩展有参考价值；当前普通夹爪主线需区分可迁移的学习方法与依赖多指硬件的部分。</x:v>
      </x:c>
      <x:c r="AS61" t="str">
        <x:v>Project-stated CCF seventh-edition mapping; official row pending where noted</x:v>
      </x:c>
      <x:c r="AT61" t="str">
        <x:v>Dexterous</x:v>
      </x:c>
      <x:c r="AU61" t="n">
        <x:v>2</x:v>
      </x:c>
      <x:c r="AV61" t="str">
        <x:v>OpenAlex</x:v>
      </x:c>
      <x:c r="AW61" t="str">
        <x:v>2026-09-25</x:v>
      </x:c>
      <x:c r="AX61" t="str">
        <x:v>多指机器人手的数据采集昂贵，跨手型迁移难。</x:v>
      </x:c>
      <x:c r="AY61" t="str">
        <x:v>Unknown / Needs Full-Paper Verification</x:v>
      </x:c>
      <x:c r="AZ61" t="str">
        <x:v>以 `Unknown` 为主要方法/能力线索；更细的结构和消融结论待正文核验。</x:v>
      </x:c>
      <x:c r="BA61" t="str">
        <x:v>已核验摘要未明确说明；需查阅论文方法与实验章节。</x:v>
      </x:c>
      <x:c r="BB61" t="str">
        <x:v>Unknown / Needs Full-Paper Verification</x:v>
      </x:c>
      <x:c r="BC61" t="str">
        <x:v>- 官方题名与元数据已确认；具体表述待补读官方摘要或正文。</x:v>
      </x:c>
      <x:c r="BD61" t="str">
        <x:v>Real Robot 字段为 `Unknown`；Dataset、Benchmark、Robot Platform 中的 Unknown 继续保留，不从题名推断。</x:v>
      </x:c>
      <x:c r="BE61" t="str">
        <x:v>作者报告生成的动作更平滑且语义正确；未核验统一数值。</x:v>
      </x:c>
      <x:c r="BF61" t="str">
        <x:v>Unknown / Needs Full-Paper Verification</x:v>
      </x:c>
      <x:c r="BG61" t="str">
        <x:v>Library Analysis / Research Note: Unknown / Needs Full-Paper Verification</x:v>
      </x:c>
      <x:c r="BH61" t="str">
        <x:v>Unknown</x:v>
      </x:c>
      <x:c r="BI61" t="str">
        <x:v>B</x:v>
      </x:c>
      <x:c r="BJ61"/>
      <x:c r="BK61" t="str">
        <x:v>Unknown / Not Explicitly Reported in the currently accessible sources.</x:v>
      </x:c>
      <x:c r="BL61" t="str">
        <x:v>Unknown / Not Explicitly Reported in the currently accessible sources.</x:v>
      </x:c>
      <x:c r="BM61" t="str">
        <x:v>https://openalex.org/W7138113519</x:v>
      </x:c>
      <x:c r="BN61" t="str">
        <x:v>https://ojs.aaai.org/index.php/AAAI/article/view/38874；官方摘要/论文集元数据</x:v>
      </x:c>
      <x:c r="BO61" t="str">
        <x:v>B-Code-Unverified</x:v>
      </x:c>
      <x:c r="BP61" t="str">
        <x:v>Not Found</x:v>
      </x:c>
      <x:c r="BQ61" t="str">
        <x:v>Unavailable</x:v>
      </x:c>
      <x:c r="BR61" t="str">
        <x:v>Unknown</x:v>
      </x:c>
      <x:c r="BS61" t="str">
        <x:v>https://ojs.aaai.org/index.php/AAAI/article/download/38874/42836</x:v>
      </x:c>
      <x:c r="BT61" t="str">
        <x:v>No</x:v>
      </x:c>
      <x:c r="BU61" t="str">
        <x:v>No</x:v>
      </x:c>
      <x:c r="BV61" t="str">
        <x:v>No</x:v>
      </x:c>
      <x:c r="BW61" t="str">
        <x:v>No</x:v>
      </x:c>
      <x:c r="BX61" t="str">
        <x:v>No</x:v>
      </x:c>
      <x:c r="BY61" t="str">
        <x:v>No</x:v>
      </x:c>
      <x:c r="BZ61" t="str">
        <x:v>No</x:v>
      </x:c>
      <x:c r="CA61" t="str">
        <x:v>Matched</x:v>
      </x:c>
      <x:c r="CB61" t="str">
        <x:v>Not Found After Verification</x:v>
      </x:c>
      <x:c r="CC61" t="str">
        <x:v>Not Found After Verification</x:v>
      </x:c>
      <x:c r="CD61" t="str">
        <x:v>Audit logged - deep extraction pending</x:v>
      </x:c>
      <x:c r="CE61" t="str">
        <x:v>false</x:v>
      </x:c>
      <x:c r="CF61"/>
      <x:c r="CG61" t="str">
        <x:v>研究问题：多指机器人手的数据采集昂贵，跨手型迁移难。；之前方法的问题：运动学与动力学差异使直接重定向的动作不平滑或不可执行。；核心思路：逐步对齐运动学和动力学，再把操作行为迁移到目标灵巧手；模块细节仍需查官方正文。；主要结果：作者报告生成的动作更平滑且语义正确；未核验统一数值。；为什么重要：提示本项目从单臂模型迁移双臂时也要检查物理可执行性。；与当前项目的关系：Medium：对齐思想可借鉴，目标硬件不同。；主要局限：原卡方法细节尚有占位，不能据此宣称已复现。</x:v>
      </x:c>
      <x:c r="CH61" t="str">
        <x:v>运动学与动力学差异使直接重定向的动作不平滑或不可执行。</x:v>
      </x:c>
      <x:c r="CI61" t="str">
        <x:v>逐步对齐运动学和动力学，再把操作行为迁移到目标灵巧手；模块细节仍需查官方正文。</x:v>
      </x:c>
      <x:c r="CJ61"/>
      <x:c r="CK61" t="str">
        <x:v>作者报告生成的动作更平滑且语义正确；未核验统一数值。</x:v>
      </x:c>
      <x:c r="CL61" t="str">
        <x:v>提示本项目从单臂模型迁移双臂时也要检查物理可执行性。</x:v>
      </x:c>
      <x:c r="CM61" t="str">
        <x:v>原卡方法细节尚有占位，不能据此宣称已复现。</x:v>
      </x:c>
      <x:c r="CN61"/>
      <x:c r="CO61" t="str">
        <x:v>Medium：对齐思想可借鉴，目标硬件不同。</x:v>
      </x:c>
      <x:c r="CP61" t="str">
        <x:v>OpenAlex 索引摘要; https://api.openalex.org/works/W7138113519; 核验于 2026-09-23. 仅为摘要级速读；原 Evidence Quality 不变。 - 核验层级：摘要有可追溯来源</x:v>
      </x:c>
      <x:c r="CQ61" t="str">
        <x:v>doi</x:v>
      </x:c>
      <x:c r="CR61" t="n">
        <x:v>0</x:v>
      </x:c>
      <x:c r="CS61" t="n">
        <x:v>0</x:v>
      </x:c>
    </x:row>
    <x:row r="62" ht="58" customHeight="1">
      <x:c r="A62" t="str">
        <x:v>A061</x:v>
      </x:c>
      <x:c r="B62" t="str">
        <x:v>HumanoidGen: Data Generation for Bimanual Dexterous Manipulation via LLM Reasoning</x:v>
      </x:c>
      <x:c r="C62" t="str">
        <x:v>Jing, Zhi; Yang, Siyuan; Ao, Jicong; Xiao, Ting; Jiang, Yu-Gang; Bai, Chenjia</x:v>
      </x:c>
      <x:c r="D62" t="n">
        <x:v>2025</x:v>
      </x:c>
      <x:c r="E62" t="str">
        <x:v>NeurIPS</x:v>
      </x:c>
      <x:c r="F62" t="str">
        <x:v>A</x:v>
      </x:c>
      <x:c r="G62" t="str">
        <x:v>Official Conference Paper</x:v>
      </x:c>
      <x:c r="H62" t="str">
        <x:v>Method Paper</x:v>
      </x:c>
      <x:c r="I62" t="str">
        <x:v>Bimanual Manipulation; Dexterous Manipulation; Dataset / Benchmark</x:v>
      </x:c>
      <x:c r="J62" t="str">
        <x:v>Humanoid / Synthetic Demonstrations / LLM Planning</x:v>
      </x:c>
      <x:c r="K62" t="str">
        <x:v>Unknown</x:v>
      </x:c>
      <x:c r="L62" t="e">
        <x:f>HYPERLINK("https://proceedings.neurips.cc/paper_files/paper/2025/hash/e4ef7454447baa15a424314e6284441b-Abstract-Conference.html","论文")</x:f>
        <x:v>HYPERLINK is not implemented. linkLocation=https://proceedings.neurips.cc/paper_files/paper/2025/hash/e4ef7454447baa15a424314e6284441b-Abstract-Conference.html, friendlyName=论文</x:v>
      </x:c>
      <x:c r="M62" t="e">
        <x:f>HYPERLINK("https://doi.org/10.52202/085713-5220","DOI")</x:f>
        <x:v>HYPERLINK is not implemented. linkLocation=https://doi.org/10.52202/085713-5220, friendlyName=DOI</x:v>
      </x:c>
      <x:c r="N62" t="str">
        <x:v>Unknown</x:v>
      </x:c>
      <x:c r="O62" t="e">
        <x:f>HYPERLINK("https://openhumanoidgen.github.io","Project")</x:f>
        <x:v>HYPERLINK is not implemented. linkLocation=https://openhumanoidgen.github.io, friendlyName=Project</x:v>
      </x:c>
      <x:c r="P62" t="str">
        <x:v>Unknown</x:v>
      </x:c>
      <x:c r="Q62" t="str">
        <x:v>Unknown</x:v>
      </x:c>
      <x:c r="R62" t="str">
        <x:v>Unknown</x:v>
      </x:c>
      <x:c r="S62" t="str">
        <x:v>Unknown</x:v>
      </x:c>
      <x:c r="T62" t="str">
        <x:v>Unknown</x:v>
      </x:c>
      <x:c r="U62" t="str">
        <x:v>Unknown</x:v>
      </x:c>
      <x:c r="V62" t="str">
        <x:v>Humanoid / Bimanual / Dexterous Hand</x:v>
      </x:c>
      <x:c r="W62" t="str">
        <x:v>Bimanual</x:v>
      </x:c>
      <x:c r="X62" t="str">
        <x:v>Dexterous Hand</x:v>
      </x:c>
      <x:c r="Y62" t="str">
        <x:v>No</x:v>
      </x:c>
      <x:c r="Z62" t="str">
        <x:v>Unknown</x:v>
      </x:c>
      <x:c r="AA62" t="str">
        <x:v>Unknown</x:v>
      </x:c>
      <x:c r="AB62" t="str">
        <x:v>Unknown</x:v>
      </x:c>
      <x:c r="AC62" t="str">
        <x:v>P0</x:v>
      </x:c>
      <x:c r="AD62" t="str">
        <x:v>Official proceedings verified; CCF A via user-provided CCF 7th-edition venue mapping</x:v>
      </x:c>
      <x:c r="AE62" t="str">
        <x:v>2026-09-19</x:v>
      </x:c>
      <x:c r="AF62" t="str">
        <x:v>Formal main-conference paper verified from official proceedings. Unchecked metadata remains Unknown.</x:v>
      </x:c>
      <x:c r="AG62" t="str">
        <x:v>CCF A Conference</x:v>
      </x:c>
      <x:c r="AH62" t="str">
        <x:v>Official Conference Paper</x:v>
      </x:c>
      <x:c r="AI62" t="str">
        <x:v>No</x:v>
      </x:c>
      <x:c r="AJ62" t="str">
        <x:v>02_Papers/03_Bimanual/HumanoidGen.md</x:v>
      </x:c>
      <x:c r="AK62" t="str">
        <x:v>Strict CCF A</x:v>
      </x:c>
      <x:c r="AL62" t="str">
        <x:v>https://proceedings.neurips.cc/paper_files/paper/2025/hash/e4ef7454447baa15a424314e6284441b-Abstract-Conference.html; official abstract/proceedings metadata</x:v>
      </x:c>
      <x:c r="AM62" t="str">
        <x:v>Abstract-level</x:v>
      </x:c>
      <x:c r="AN62" t="str">
        <x:v>Humanoid / Synthetic Demonstrations / LLM Planning</x:v>
      </x:c>
      <x:c r="AO62" t="str">
        <x:v>See canonical card Research Summary; generated only from official abstract-level evidence.</x:v>
      </x:c>
      <x:c r="AP62" t="str">
        <x:v>Unknown</x:v>
      </x:c>
      <x:c r="AQ62" t="str">
        <x:v>Real Robot=No; Dataset/Benchmark/Robot Platform retain Unknown when not verified.</x:v>
      </x:c>
      <x:c r="AR62" t="str">
        <x:v>** 与 NERO 双臂、普通夹爪、示范采集和双臂策略学习直接相关，优先评估动作表示与协同控制是否可迁移。</x:v>
      </x:c>
      <x:c r="AS62" t="str">
        <x:v>Project-stated CCF seventh-edition mapping; official row pending where noted</x:v>
      </x:c>
      <x:c r="AT62" t="str">
        <x:v>Bimanual</x:v>
      </x:c>
      <x:c r="AU62" t="n">
        <x:v>0</x:v>
      </x:c>
      <x:c r="AV62" t="str">
        <x:v>OpenAlex</x:v>
      </x:c>
      <x:c r="AW62" t="str">
        <x:v>2026-09-25</x:v>
      </x:c>
      <x:c r="AX62" t="str">
        <x:v>许多机器人操作数据和仿真 benchmark 偏机械臂，缺少人形机器人操作数据。</x:v>
      </x:c>
      <x:c r="AY62" t="str">
        <x:v>Unknown / Needs Full-Paper Verification</x:v>
      </x:c>
      <x:c r="AZ62" t="str">
        <x:v>以 `Unknown` 为主要方法/能力线索；更细的结构和消融结论待正文核验。</x:v>
      </x:c>
      <x:c r="BA62" t="str">
        <x:v>生成的人形操作数据；具体任务与数据规模见论文。</x:v>
      </x:c>
      <x:c r="BB62" t="str">
        <x:v>Unknown / Needs Full-Paper Verification</x:v>
      </x:c>
      <x:c r="BC62" t="str">
        <x:v>- For robotic manipulation, existing robotics datasets and simulation benchmarks predominantly cater to robot-arm platforms.</x:v>
      </x:c>
      <x:c r="BD62" t="str">
        <x:v>Real Robot 字段为 `No`；Dataset、Benchmark、Robot Platform 中的 Unknown 继续保留，不从题名推断。</x:v>
      </x:c>
      <x:c r="BE62" t="str">
        <x:v>摘要报告 2D 与 3D 扩散策略表现会随生成数据增加而提升；未核验统一成功率。</x:v>
      </x:c>
      <x:c r="BF62" t="str">
        <x:v>Unknown / Needs Full-Paper Verification</x:v>
      </x:c>
      <x:c r="BG62" t="str">
        <x:v>Library Analysis / Research Note: Unknown / Needs Full-Paper Verification</x:v>
      </x:c>
      <x:c r="BH62" t="str">
        <x:v>Unknown</x:v>
      </x:c>
      <x:c r="BI62" t="str">
        <x:v>B</x:v>
      </x:c>
      <x:c r="BJ62"/>
      <x:c r="BK62" t="str">
        <x:v>Unknown / Not Explicitly Reported in the currently accessible sources.</x:v>
      </x:c>
      <x:c r="BL62" t="str">
        <x:v>Unknown / Not Explicitly Reported in the currently accessible sources.</x:v>
      </x:c>
      <x:c r="BM62" t="str">
        <x:v>https://openalex.org/W4417041439</x:v>
      </x:c>
      <x:c r="BN62" t="str">
        <x:v>https://proceedings.neurips.cc/paper_files/paper/2025/hash/e4ef7454447baa15a424314e6284441b-Abstract-Conference.html；官方摘要/论文集元数据</x:v>
      </x:c>
      <x:c r="BO62" t="str">
        <x:v>B-Code-Unverified</x:v>
      </x:c>
      <x:c r="BP62" t="str">
        <x:v>Not Found</x:v>
      </x:c>
      <x:c r="BQ62" t="str">
        <x:v>Unavailable</x:v>
      </x:c>
      <x:c r="BR62" t="str">
        <x:v>Unknown</x:v>
      </x:c>
      <x:c r="BS62" t="str">
        <x:v>https://proceedings.neurips.cc/paper_files/paper/2025/file/e4ef7454447baa15a424314e6284441b-Paper-Conference.pdf</x:v>
      </x:c>
      <x:c r="BT62" t="str">
        <x:v>No</x:v>
      </x:c>
      <x:c r="BU62" t="str">
        <x:v>No</x:v>
      </x:c>
      <x:c r="BV62" t="str">
        <x:v>No</x:v>
      </x:c>
      <x:c r="BW62" t="str">
        <x:v>No</x:v>
      </x:c>
      <x:c r="BX62" t="str">
        <x:v>No</x:v>
      </x:c>
      <x:c r="BY62" t="str">
        <x:v>No</x:v>
      </x:c>
      <x:c r="BZ62" t="str">
        <x:v>No</x:v>
      </x:c>
      <x:c r="CA62" t="str">
        <x:v>Matched</x:v>
      </x:c>
      <x:c r="CB62" t="str">
        <x:v>Not Found After Verification</x:v>
      </x:c>
      <x:c r="CC62" t="str">
        <x:v>Not Found After Verification</x:v>
      </x:c>
      <x:c r="CD62" t="str">
        <x:v>Audit logged - deep extraction pending</x:v>
      </x:c>
      <x:c r="CE62" t="str">
        <x:v>false</x:v>
      </x:c>
      <x:c r="CF62"/>
      <x:c r="CG62" t="str">
        <x:v>研究问题：许多机器人操作数据和仿真 benchmark 偏机械臂，缺少人形机器人操作数据。；之前方法的问题：数据本体分布不足会限制策略对人形平台的适配。；核心思路：HumanoidGen 扩展人形机器人操作数据，用生成数据训练和评估 2D/3D Diffusion Policy。；数据集与评测基准：生成的人形操作数据；具体任务与数据规模见论文。；主要结果：摘要报告 2D 与 3D 扩散策略表现会随生成数据增加而提升；未核验统一成功率。；为什么重要：提醒跨本体数据设计比单纯增加示范数量更重要。；与当前项目的关系：Medium：本项目不是人形手，但双臂数据覆盖问题相通。；主要局限：仿真生成数据到普通夹爪真机的迁移需另行验证。</x:v>
      </x:c>
      <x:c r="CH62" t="str">
        <x:v>数据本体分布不足会限制策略对人形平台的适配。</x:v>
      </x:c>
      <x:c r="CI62" t="str">
        <x:v>HumanoidGen 扩展人形机器人操作数据，用生成数据训练和评估 2D/3D Diffusion Policy。</x:v>
      </x:c>
      <x:c r="CJ62"/>
      <x:c r="CK62" t="str">
        <x:v>摘要报告 2D 与 3D 扩散策略表现会随生成数据增加而提升；未核验统一成功率。</x:v>
      </x:c>
      <x:c r="CL62" t="str">
        <x:v>提醒跨本体数据设计比单纯增加示范数量更重要。</x:v>
      </x:c>
      <x:c r="CM62" t="str">
        <x:v>仿真生成数据到普通夹爪真机的迁移需另行验证。</x:v>
      </x:c>
      <x:c r="CN62"/>
      <x:c r="CO62" t="str">
        <x:v>Medium：本项目不是人形手，但双臂数据覆盖问题相通。</x:v>
      </x:c>
      <x:c r="CP62" t="str">
        <x:v>官方摘要/论文页; https://proceedings.neurips.cc/paper_files/paper/2025/hash/e4ef7454447baa15a424314e6284441b-Abstract-Conference.html; 核验于 2026-09-23. 仅为摘要级速读；原 Evidence Quality 不变。 - 核验层级：摘要有可追溯来源</x:v>
      </x:c>
      <x:c r="CQ62" t="str">
        <x:v>doi</x:v>
      </x:c>
      <x:c r="CR62" t="n">
        <x:v>0</x:v>
      </x:c>
      <x:c r="CS62" t="n">
        <x:v>1</x:v>
      </x:c>
    </x:row>
    <x:row r="63" ht="58" customHeight="1">
      <x:c r="A63" t="str">
        <x:v>A062</x:v>
      </x:c>
      <x:c r="B63" t="str">
        <x:v>Towards Affordance-Aware Robotic Dexterous Grasping with Human-like Priors</x:v>
      </x:c>
      <x:c r="C63" t="str">
        <x:v>Unknown</x:v>
      </x:c>
      <x:c r="D63" t="n">
        <x:v>2026</x:v>
      </x:c>
      <x:c r="E63" t="str">
        <x:v>AAAI</x:v>
      </x:c>
      <x:c r="F63" t="str">
        <x:v>A</x:v>
      </x:c>
      <x:c r="G63" t="str">
        <x:v>Official Conference Paper</x:v>
      </x:c>
      <x:c r="H63" t="str">
        <x:v>Method Paper</x:v>
      </x:c>
      <x:c r="I63" t="str">
        <x:v>Dexterous Manipulation; Generalization</x:v>
      </x:c>
      <x:c r="J63" t="str">
        <x:v>Affordance / Policy Distillation</x:v>
      </x:c>
      <x:c r="K63" t="str">
        <x:v>Unknown</x:v>
      </x:c>
      <x:c r="L63" t="e">
        <x:f>HYPERLINK("https://ojs.aaai.org/index.php/AAAI/article/view/38313","论文")</x:f>
        <x:v>HYPERLINK is not implemented. linkLocation=https://ojs.aaai.org/index.php/AAAI/article/view/38313, friendlyName=论文</x:v>
      </x:c>
      <x:c r="M63" t="e">
        <x:f>HYPERLINK("https://doi.org/10.1609/aaai.v40i15.38313","DOI")</x:f>
        <x:v>HYPERLINK is not implemented. linkLocation=https://doi.org/10.1609/aaai.v40i15.38313, friendlyName=DOI</x:v>
      </x:c>
      <x:c r="N63" t="str">
        <x:v>Unknown</x:v>
      </x:c>
      <x:c r="O63" t="str">
        <x:v>Unknown</x:v>
      </x:c>
      <x:c r="P63" t="str">
        <x:v>Unknown</x:v>
      </x:c>
      <x:c r="Q63" t="str">
        <x:v>Unknown</x:v>
      </x:c>
      <x:c r="R63" t="str">
        <x:v>Unknown</x:v>
      </x:c>
      <x:c r="S63" t="str">
        <x:v>Unknown</x:v>
      </x:c>
      <x:c r="T63" t="str">
        <x:v>Unknown</x:v>
      </x:c>
      <x:c r="U63" t="str">
        <x:v>Unknown</x:v>
      </x:c>
      <x:c r="V63" t="str">
        <x:v>Dexterous Hand</x:v>
      </x:c>
      <x:c r="W63" t="str">
        <x:v>Unknown</x:v>
      </x:c>
      <x:c r="X63" t="str">
        <x:v>Dexterous Hand</x:v>
      </x:c>
      <x:c r="Y63" t="str">
        <x:v>Unknown</x:v>
      </x:c>
      <x:c r="Z63" t="str">
        <x:v>Unknown</x:v>
      </x:c>
      <x:c r="AA63" t="str">
        <x:v>Unknown</x:v>
      </x:c>
      <x:c r="AB63" t="str">
        <x:v>Unknown</x:v>
      </x:c>
      <x:c r="AC63" t="str">
        <x:v>P0</x:v>
      </x:c>
      <x:c r="AD63" t="str">
        <x:v>Official proceedings verified; CCF A via user-provided CCF 7th-edition venue mapping</x:v>
      </x:c>
      <x:c r="AE63" t="str">
        <x:v>2026-09-19</x:v>
      </x:c>
      <x:c r="AF63" t="str">
        <x:v>Formal main-conference paper verified from official proceedings. Unchecked metadata remains Unknown.</x:v>
      </x:c>
      <x:c r="AG63" t="str">
        <x:v>CCF A Conference</x:v>
      </x:c>
      <x:c r="AH63" t="str">
        <x:v>Official Conference Paper</x:v>
      </x:c>
      <x:c r="AI63" t="str">
        <x:v>No</x:v>
      </x:c>
      <x:c r="AJ63" t="str">
        <x:v>02_Papers/04_Dexterous/Towards_Affordance-Aware_Robotic_Dexterous_Grasping_with_Human-like_Priors.md</x:v>
      </x:c>
      <x:c r="AK63" t="str">
        <x:v>Strict CCF A</x:v>
      </x:c>
      <x:c r="AL63" t="str">
        <x:v>https://ojs.aaai.org/index.php/AAAI/article/view/38313; official abstract/proceedings metadata</x:v>
      </x:c>
      <x:c r="AM63" t="str">
        <x:v>Abstract-level</x:v>
      </x:c>
      <x:c r="AN63" t="str">
        <x:v>Affordance / Policy Distillation</x:v>
      </x:c>
      <x:c r="AO63" t="str">
        <x:v>Pending official abstract/full-text verification.</x:v>
      </x:c>
      <x:c r="AP63" t="str">
        <x:v>Unknown</x:v>
      </x:c>
      <x:c r="AQ63" t="str">
        <x:v>Real Robot=Unknown; Dataset/Benchmark/Robot Platform retain Unknown when not verified.</x:v>
      </x:c>
      <x:c r="AR63" t="str">
        <x:v>** 对灵巧操作扩展有参考价值；当前普通夹爪主线需区分可迁移的学习方法与依赖多指硬件的部分。</x:v>
      </x:c>
      <x:c r="AS63" t="str">
        <x:v>Project-stated CCF seventh-edition mapping; official row pending where noted</x:v>
      </x:c>
      <x:c r="AT63" t="str">
        <x:v>Dexterous</x:v>
      </x:c>
      <x:c r="AU63" t="n">
        <x:v>2</x:v>
      </x:c>
      <x:c r="AV63" t="str">
        <x:v>OpenAlex</x:v>
      </x:c>
      <x:c r="AW63" t="str">
        <x:v>2026-09-25</x:v>
      </x:c>
      <x:c r="AX63" t="str">
        <x:v>灵巧手要在未见物体上抓取，还需要理解物体可供性。</x:v>
      </x:c>
      <x:c r="AY63" t="str">
        <x:v>Unknown / Needs Full-Paper Verification</x:v>
      </x:c>
      <x:c r="AZ63" t="str">
        <x:v>以 `Unknown` 为主要方法/能力线索；更细的结构和消融结论待正文核验。</x:v>
      </x:c>
      <x:c r="BA63" t="str">
        <x:v>已核验摘要未明确说明；需查阅论文方法与实验章节。</x:v>
      </x:c>
      <x:c r="BB63" t="str">
        <x:v>Unknown / Needs Full-Paper Verification</x:v>
      </x:c>
      <x:c r="BC63" t="str">
        <x:v>- 官方题名与元数据已确认；具体表述待补读官方摘要或正文。</x:v>
      </x:c>
      <x:c r="BD63" t="str">
        <x:v>Real Robot 字段为 `Unknown`；Dataset、Benchmark、Robot Platform 中的 Unknown 继续保留，不从题名推断。</x:v>
      </x:c>
      <x:c r="BE63" t="str">
        <x:v>作者报告在已见物体、未见实例和未见类别上优于基线；统一数字未核验。</x:v>
      </x:c>
      <x:c r="BF63" t="str">
        <x:v>Unknown / Needs Full-Paper Verification</x:v>
      </x:c>
      <x:c r="BG63" t="str">
        <x:v>Library Analysis / Research Note: Unknown / Needs Full-Paper Verification</x:v>
      </x:c>
      <x:c r="BH63" t="str">
        <x:v>Unknown</x:v>
      </x:c>
      <x:c r="BI63" t="str">
        <x:v>B</x:v>
      </x:c>
      <x:c r="BJ63"/>
      <x:c r="BK63" t="str">
        <x:v>Unknown / Not Explicitly Reported in the currently accessible sources.</x:v>
      </x:c>
      <x:c r="BL63" t="str">
        <x:v>Unknown / Not Explicitly Reported in the currently accessible sources.</x:v>
      </x:c>
      <x:c r="BM63" t="str">
        <x:v>https://openalex.org/W7138302344</x:v>
      </x:c>
      <x:c r="BN63" t="str">
        <x:v>https://ojs.aaai.org/index.php/AAAI/article/view/38313；官方摘要/论文集元数据</x:v>
      </x:c>
      <x:c r="BO63" t="str">
        <x:v>B-Code-Unverified</x:v>
      </x:c>
      <x:c r="BP63" t="str">
        <x:v>Not Found</x:v>
      </x:c>
      <x:c r="BQ63" t="str">
        <x:v>Unavailable</x:v>
      </x:c>
      <x:c r="BR63" t="str">
        <x:v>Unknown</x:v>
      </x:c>
      <x:c r="BS63" t="str">
        <x:v>https://ojs.aaai.org/index.php/AAAI/article/download/38313/42275</x:v>
      </x:c>
      <x:c r="BT63" t="str">
        <x:v>No</x:v>
      </x:c>
      <x:c r="BU63" t="str">
        <x:v>No</x:v>
      </x:c>
      <x:c r="BV63" t="str">
        <x:v>No</x:v>
      </x:c>
      <x:c r="BW63" t="str">
        <x:v>No</x:v>
      </x:c>
      <x:c r="BX63" t="str">
        <x:v>No</x:v>
      </x:c>
      <x:c r="BY63" t="str">
        <x:v>No</x:v>
      </x:c>
      <x:c r="BZ63" t="str">
        <x:v>No</x:v>
      </x:c>
      <x:c r="CA63" t="str">
        <x:v>Matched</x:v>
      </x:c>
      <x:c r="CB63" t="str">
        <x:v>Not Found After Verification</x:v>
      </x:c>
      <x:c r="CC63" t="str">
        <x:v>Not Found After Verification</x:v>
      </x:c>
      <x:c r="CD63" t="str">
        <x:v>Audit logged - deep extraction pending</x:v>
      </x:c>
      <x:c r="CE63" t="str">
        <x:v>false</x:v>
      </x:c>
      <x:c r="CF63"/>
      <x:c r="CG63" t="str">
        <x:v>研究问题：灵巧手要在未见物体上抓取，还需要理解物体可供性。；之前方法的问题：只利用几何抓取先验可能忽略人类使用物体的方式。；核心思路：AffordDex 引入人类式先验与 affordance，学习可泛化的灵巧抓取。具体模块需核对正文。；主要结果：作者报告在已见物体、未见实例和未见类别上优于基线；统一数字未核验。；为什么重要：强调抓取的用途和接触位置比单纯抓住更重要。；与当前项目的关系：Medium：普通夹爪也需任务相关抓取，但手型不同。；主要局限：原卡方法细节尚有占位；真实双臂夹爪转移需验证。</x:v>
      </x:c>
      <x:c r="CH63" t="str">
        <x:v>只利用几何抓取先验可能忽略人类使用物体的方式。</x:v>
      </x:c>
      <x:c r="CI63" t="str">
        <x:v>AffordDex 引入人类式先验与 affordance，学习可泛化的灵巧抓取。具体模块需核对正文。</x:v>
      </x:c>
      <x:c r="CJ63"/>
      <x:c r="CK63" t="str">
        <x:v>作者报告在已见物体、未见实例和未见类别上优于基线；统一数字未核验。</x:v>
      </x:c>
      <x:c r="CL63" t="str">
        <x:v>强调抓取的用途和接触位置比单纯抓住更重要。</x:v>
      </x:c>
      <x:c r="CM63" t="str">
        <x:v>原卡方法细节尚有占位；真实双臂夹爪转移需验证。</x:v>
      </x:c>
      <x:c r="CN63"/>
      <x:c r="CO63" t="str">
        <x:v>Medium：普通夹爪也需任务相关抓取，但手型不同。</x:v>
      </x:c>
      <x:c r="CP63" t="str">
        <x:v>OpenAlex 索引摘要; https://api.openalex.org/works/W7138302344; 核验于 2026-09-23. 仅为摘要级速读；原 Evidence Quality 不变。 - 核验层级：摘要有可追溯来源</x:v>
      </x:c>
      <x:c r="CQ63" t="str">
        <x:v>doi</x:v>
      </x:c>
      <x:c r="CR63" t="n">
        <x:v>0</x:v>
      </x:c>
      <x:c r="CS63" t="n">
        <x:v>0</x:v>
      </x:c>
    </x:row>
    <x:row r="64" ht="58" customHeight="1">
      <x:c r="A64" t="str">
        <x:v>A063</x:v>
      </x:c>
      <x:c r="B64" t="str">
        <x:v>Learning Diverse Bimanual Dexterous Manipulation Skills from Human Demonstrations</x:v>
      </x:c>
      <x:c r="C64" t="str">
        <x:v>Unknown</x:v>
      </x:c>
      <x:c r="D64" t="n">
        <x:v>2026</x:v>
      </x:c>
      <x:c r="E64" t="str">
        <x:v>AAAI</x:v>
      </x:c>
      <x:c r="F64" t="str">
        <x:v>A</x:v>
      </x:c>
      <x:c r="G64" t="str">
        <x:v>Official Conference Paper</x:v>
      </x:c>
      <x:c r="H64" t="str">
        <x:v>Method Paper</x:v>
      </x:c>
      <x:c r="I64" t="str">
        <x:v>Bimanual Manipulation; Dexterous Manipulation; Imitation Learning</x:v>
      </x:c>
      <x:c r="J64" t="str">
        <x:v>Human Demonstrations / Reinforcement Learning</x:v>
      </x:c>
      <x:c r="K64" t="str">
        <x:v>Unknown</x:v>
      </x:c>
      <x:c r="L64" t="e">
        <x:f>HYPERLINK("https://ojs.aaai.org/index.php/AAAI/article/view/40127","论文")</x:f>
        <x:v>HYPERLINK is not implemented. linkLocation=https://ojs.aaai.org/index.php/AAAI/article/view/40127, friendlyName=论文</x:v>
      </x:c>
      <x:c r="M64" t="e">
        <x:f>HYPERLINK("https://doi.org/10.1609/aaai.v40i34.40127","DOI")</x:f>
        <x:v>HYPERLINK is not implemented. linkLocation=https://doi.org/10.1609/aaai.v40i34.40127, friendlyName=DOI</x:v>
      </x:c>
      <x:c r="N64" t="str">
        <x:v>Unknown</x:v>
      </x:c>
      <x:c r="O64" t="str">
        <x:v>Unknown</x:v>
      </x:c>
      <x:c r="P64" t="str">
        <x:v>Unknown</x:v>
      </x:c>
      <x:c r="Q64" t="str">
        <x:v>Unknown</x:v>
      </x:c>
      <x:c r="R64" t="str">
        <x:v>Unknown</x:v>
      </x:c>
      <x:c r="S64" t="str">
        <x:v>Unknown</x:v>
      </x:c>
      <x:c r="T64" t="str">
        <x:v>Unknown</x:v>
      </x:c>
      <x:c r="U64" t="str">
        <x:v>Unknown</x:v>
      </x:c>
      <x:c r="V64" t="str">
        <x:v>Bimanual / Dexterous Hand</x:v>
      </x:c>
      <x:c r="W64" t="str">
        <x:v>Bimanual</x:v>
      </x:c>
      <x:c r="X64" t="str">
        <x:v>Dexterous Hand</x:v>
      </x:c>
      <x:c r="Y64" t="str">
        <x:v>Unknown</x:v>
      </x:c>
      <x:c r="Z64" t="str">
        <x:v>Unknown</x:v>
      </x:c>
      <x:c r="AA64" t="str">
        <x:v>Unknown</x:v>
      </x:c>
      <x:c r="AB64" t="str">
        <x:v>Unknown</x:v>
      </x:c>
      <x:c r="AC64" t="str">
        <x:v>P0</x:v>
      </x:c>
      <x:c r="AD64" t="str">
        <x:v>Official proceedings verified; CCF A via user-provided CCF 7th-edition venue mapping</x:v>
      </x:c>
      <x:c r="AE64" t="str">
        <x:v>2026-09-19</x:v>
      </x:c>
      <x:c r="AF64" t="str">
        <x:v>Formal main-conference paper verified from official proceedings. Unchecked metadata remains Unknown.</x:v>
      </x:c>
      <x:c r="AG64" t="str">
        <x:v>CCF A Conference</x:v>
      </x:c>
      <x:c r="AH64" t="str">
        <x:v>Official Conference Paper</x:v>
      </x:c>
      <x:c r="AI64" t="str">
        <x:v>No</x:v>
      </x:c>
      <x:c r="AJ64" t="str">
        <x:v>02_Papers/03_Bimanual/Learning_Diverse_Bimanual_Dexterous_Manipulation_Skills_from_Human_Demonstrations.md</x:v>
      </x:c>
      <x:c r="AK64" t="str">
        <x:v>Strict CCF A</x:v>
      </x:c>
      <x:c r="AL64" t="str">
        <x:v>https://ojs.aaai.org/index.php/AAAI/article/view/40127; official abstract/proceedings metadata</x:v>
      </x:c>
      <x:c r="AM64" t="str">
        <x:v>Abstract-level</x:v>
      </x:c>
      <x:c r="AN64" t="str">
        <x:v>Human Demonstrations / Reinforcement Learning</x:v>
      </x:c>
      <x:c r="AO64" t="str">
        <x:v>Pending official abstract/full-text verification.</x:v>
      </x:c>
      <x:c r="AP64" t="str">
        <x:v>Unknown</x:v>
      </x:c>
      <x:c r="AQ64" t="str">
        <x:v>Real Robot=Unknown; Dataset/Benchmark/Robot Platform retain Unknown when not verified.</x:v>
      </x:c>
      <x:c r="AR64" t="str">
        <x:v>** 与 NERO 双臂、普通夹爪、示范采集和双臂策略学习直接相关，优先评估动作表示与协同控制是否可迁移。</x:v>
      </x:c>
      <x:c r="AS64" t="str">
        <x:v>Project-stated CCF seventh-edition mapping; official row pending where noted</x:v>
      </x:c>
      <x:c r="AT64" t="str">
        <x:v>Bimanual</x:v>
      </x:c>
      <x:c r="AU64" t="n">
        <x:v>2</x:v>
      </x:c>
      <x:c r="AV64" t="str">
        <x:v>OpenAlex</x:v>
      </x:c>
      <x:c r="AW64" t="str">
        <x:v>2026-09-25</x:v>
      </x:c>
      <x:c r="AX64" t="str">
        <x:v>从人类示范学习多样双手灵巧技能具有本体差异和数据成本。</x:v>
      </x:c>
      <x:c r="AY64" t="str">
        <x:v>Unknown / Needs Full-Paper Verification</x:v>
      </x:c>
      <x:c r="AZ64" t="str">
        <x:v>以 `Unknown` 为主要方法/能力线索；更细的结构和消融结论待正文核验。</x:v>
      </x:c>
      <x:c r="BA64" t="str">
        <x:v>ARCTIC 协同任务与论文训练任务。</x:v>
      </x:c>
      <x:c r="BB64" t="str">
        <x:v>Unknown / Needs Full-Paper Verification</x:v>
      </x:c>
      <x:c r="BC64" t="str">
        <x:v>- 官方题名与元数据已确认；具体表述待补读官方摘要或正文。</x:v>
      </x:c>
      <x:c r="BD64" t="str">
        <x:v>Real Robot 字段为 `Unknown`；Dataset、Benchmark、Robot Platform 中的 Unknown 继续保留，不从题名推断。</x:v>
      </x:c>
      <x:c r="BE64" t="str">
        <x:v>Unknown / Needs Full-Paper Verification</x:v>
      </x:c>
      <x:c r="BF64" t="str">
        <x:v>Unknown / Needs Full-Paper Verification</x:v>
      </x:c>
      <x:c r="BG64" t="str">
        <x:v>Library Analysis / Research Note: Unknown / Needs Full-Paper Verification</x:v>
      </x:c>
      <x:c r="BH64" t="str">
        <x:v>Unknown</x:v>
      </x:c>
      <x:c r="BI64" t="str">
        <x:v>B</x:v>
      </x:c>
      <x:c r="BJ64"/>
      <x:c r="BK64" t="str">
        <x:v>Unknown / Not Explicitly Reported in the currently accessible sources.</x:v>
      </x:c>
      <x:c r="BL64" t="str">
        <x:v>Unknown / Not Explicitly Reported in the currently accessible sources.</x:v>
      </x:c>
      <x:c r="BM64" t="str">
        <x:v>https://openalex.org/W7138037195</x:v>
      </x:c>
      <x:c r="BN64" t="str">
        <x:v>https://ojs.aaai.org/index.php/AAAI/article/view/40127；官方摘要/论文集元数据</x:v>
      </x:c>
      <x:c r="BO64" t="str">
        <x:v>B-Code-Unverified</x:v>
      </x:c>
      <x:c r="BP64" t="str">
        <x:v>Not Found</x:v>
      </x:c>
      <x:c r="BQ64" t="str">
        <x:v>Unavailable</x:v>
      </x:c>
      <x:c r="BR64" t="str">
        <x:v>Unknown</x:v>
      </x:c>
      <x:c r="BS64" t="str">
        <x:v>https://ojs.aaai.org/index.php/AAAI/article/download/40127/44088</x:v>
      </x:c>
      <x:c r="BT64" t="str">
        <x:v>No</x:v>
      </x:c>
      <x:c r="BU64" t="str">
        <x:v>No</x:v>
      </x:c>
      <x:c r="BV64" t="str">
        <x:v>No</x:v>
      </x:c>
      <x:c r="BW64" t="str">
        <x:v>No</x:v>
      </x:c>
      <x:c r="BX64" t="str">
        <x:v>No</x:v>
      </x:c>
      <x:c r="BY64" t="str">
        <x:v>No</x:v>
      </x:c>
      <x:c r="BZ64" t="str">
        <x:v>No</x:v>
      </x:c>
      <x:c r="CA64" t="str">
        <x:v>Matched</x:v>
      </x:c>
      <x:c r="CB64" t="str">
        <x:v>Not Found After Verification</x:v>
      </x:c>
      <x:c r="CC64" t="str">
        <x:v>Not Found After Verification</x:v>
      </x:c>
      <x:c r="CD64" t="str">
        <x:v>Audit logged - deep extraction pending</x:v>
      </x:c>
      <x:c r="CE64" t="str">
        <x:v>false</x:v>
      </x:c>
      <x:c r="CF64"/>
      <x:c r="CG64" t="str">
        <x:v>研究问题：从人类示范学习多样双手灵巧技能具有本体差异和数据成本。；之前方法的问题：只模仿固定动作难以覆盖未见物体与协同方式。；核心思路：BiDexHD 从人类双手示范提取可迁移技能并学习双手灵巧操作。具体模块需回正文核验。；数据集与评测基准：ARCTIC 协同任务与论文训练任务。；为什么重要：说明人类双手数据可为双臂策略提供技能先验。；与当前项目的关系：Medium：灵巧手与普通夹爪之间的动作转译需研究。；主要局限：原卡方法细节尚有占位，需核对官方论文与失败案例。</x:v>
      </x:c>
      <x:c r="CH64" t="str">
        <x:v>只模仿固定动作难以覆盖未见物体与协同方式。</x:v>
      </x:c>
      <x:c r="CI64" t="str">
        <x:v>BiDexHD 从人类双手示范提取可迁移技能并学习双手灵巧操作。具体模块需回正文核验。</x:v>
      </x:c>
      <x:c r="CJ64"/>
      <x:c r="CK64" t="str">
        <x:v>卡片记录迁移到 11 项 ARCTIC 任务：已训练任务平均完成率 80.49%，未见任务 65.99%。</x:v>
      </x:c>
      <x:c r="CL64" t="str">
        <x:v>说明人类双手数据可为双臂策略提供技能先验。</x:v>
      </x:c>
      <x:c r="CM64" t="str">
        <x:v>原卡方法细节尚有占位，需核对官方论文与失败案例。</x:v>
      </x:c>
      <x:c r="CN64"/>
      <x:c r="CO64" t="str">
        <x:v>Medium：灵巧手与普通夹爪之间的动作转译需研究。</x:v>
      </x:c>
      <x:c r="CP64" t="str">
        <x:v>OpenAlex 索引摘要; https://api.openalex.org/works/W7138037195; 核验于 2026-09-23. 仅为摘要级速读；原 Evidence Quality 不变。 - 核验层级：摘要有可追溯来源</x:v>
      </x:c>
      <x:c r="CQ64" t="str">
        <x:v>doi</x:v>
      </x:c>
      <x:c r="CR64" t="n">
        <x:v>0</x:v>
      </x:c>
      <x:c r="CS64" t="n">
        <x:v>0</x:v>
      </x:c>
    </x:row>
    <x:row r="65" ht="58" customHeight="1">
      <x:c r="A65" t="str">
        <x:v>A064</x:v>
      </x:c>
      <x:c r="B65" t="str">
        <x:v>Forecasting Bimanual Object Manipulation Sequences from Unimanual Observations</x:v>
      </x:c>
      <x:c r="C65" t="str">
        <x:v>Unknown</x:v>
      </x:c>
      <x:c r="D65" t="n">
        <x:v>2024</x:v>
      </x:c>
      <x:c r="E65" t="str">
        <x:v>AAAI</x:v>
      </x:c>
      <x:c r="F65" t="str">
        <x:v>A</x:v>
      </x:c>
      <x:c r="G65" t="str">
        <x:v>Official Conference Paper</x:v>
      </x:c>
      <x:c r="H65" t="str">
        <x:v>Method Paper</x:v>
      </x:c>
      <x:c r="I65" t="str">
        <x:v>Bimanual Manipulation; Generalization</x:v>
      </x:c>
      <x:c r="J65" t="str">
        <x:v>Motion Forecasting / Hand-Object Contact</x:v>
      </x:c>
      <x:c r="K65" t="str">
        <x:v>Unknown</x:v>
      </x:c>
      <x:c r="L65" t="e">
        <x:f>HYPERLINK("https://ojs.aaai.org/index.php/AAAI/article/view/28266","论文")</x:f>
        <x:v>HYPERLINK is not implemented. linkLocation=https://ojs.aaai.org/index.php/AAAI/article/view/28266, friendlyName=论文</x:v>
      </x:c>
      <x:c r="M65" t="e">
        <x:f>HYPERLINK("https://doi.org/10.1609/aaai.v38i5.28266","DOI")</x:f>
        <x:v>HYPERLINK is not implemented. linkLocation=https://doi.org/10.1609/aaai.v38i5.28266, friendlyName=DOI</x:v>
      </x:c>
      <x:c r="N65" t="str">
        <x:v>Unknown</x:v>
      </x:c>
      <x:c r="O65" t="str">
        <x:v>Unknown</x:v>
      </x:c>
      <x:c r="P65" t="str">
        <x:v>Unknown</x:v>
      </x:c>
      <x:c r="Q65" t="str">
        <x:v>Unknown</x:v>
      </x:c>
      <x:c r="R65" t="str">
        <x:v>Unknown</x:v>
      </x:c>
      <x:c r="S65" t="str">
        <x:v>Unknown</x:v>
      </x:c>
      <x:c r="T65" t="str">
        <x:v>Unknown</x:v>
      </x:c>
      <x:c r="U65" t="str">
        <x:v>Unknown</x:v>
      </x:c>
      <x:c r="V65" t="str">
        <x:v>Bimanual Human Motion</x:v>
      </x:c>
      <x:c r="W65" t="str">
        <x:v>Bimanual</x:v>
      </x:c>
      <x:c r="X65" t="str">
        <x:v>Unknown</x:v>
      </x:c>
      <x:c r="Y65" t="str">
        <x:v>No</x:v>
      </x:c>
      <x:c r="Z65" t="str">
        <x:v>Unknown</x:v>
      </x:c>
      <x:c r="AA65" t="str">
        <x:v>Unknown</x:v>
      </x:c>
      <x:c r="AB65" t="str">
        <x:v>Unknown</x:v>
      </x:c>
      <x:c r="AC65" t="str">
        <x:v>P2</x:v>
      </x:c>
      <x:c r="AD65" t="str">
        <x:v>Official proceedings verified; CCF A via user-provided CCF 7th-edition venue mapping</x:v>
      </x:c>
      <x:c r="AE65" t="str">
        <x:v>2026-09-19</x:v>
      </x:c>
      <x:c r="AF65" t="str">
        <x:v>Formal main-conference paper verified from official proceedings. Unchecked metadata remains Unknown.</x:v>
      </x:c>
      <x:c r="AG65" t="str">
        <x:v>CCF A Conference</x:v>
      </x:c>
      <x:c r="AH65" t="str">
        <x:v>Official Conference Paper</x:v>
      </x:c>
      <x:c r="AI65" t="str">
        <x:v>No</x:v>
      </x:c>
      <x:c r="AJ65" t="str">
        <x:v>02_Papers/03_Bimanual/Forecasting_Bimanual_Object_Manipulation_Sequences_from_Unimanual_Observations.md</x:v>
      </x:c>
      <x:c r="AK65" t="str">
        <x:v>Strict CCF A</x:v>
      </x:c>
      <x:c r="AL65" t="str">
        <x:v>https://ojs.aaai.org/index.php/AAAI/article/view/28266; official abstract/proceedings metadata</x:v>
      </x:c>
      <x:c r="AM65" t="str">
        <x:v>Abstract-level</x:v>
      </x:c>
      <x:c r="AN65" t="str">
        <x:v>Motion Forecasting / Hand-Object Contact</x:v>
      </x:c>
      <x:c r="AO65" t="str">
        <x:v>Pending official abstract/full-text verification.</x:v>
      </x:c>
      <x:c r="AP65" t="str">
        <x:v>Unknown</x:v>
      </x:c>
      <x:c r="AQ65" t="str">
        <x:v>Real Robot=No; Dataset/Benchmark/Robot Platform retain Unknown when not verified.</x:v>
      </x:c>
      <x:c r="AR65" t="str">
        <x:v>** 与 NERO 双臂、普通夹爪、示范采集和双臂策略学习直接相关，优先评估动作表示与协同控制是否可迁移。</x:v>
      </x:c>
      <x:c r="AS65" t="str">
        <x:v>Project-stated CCF seventh-edition mapping; official row pending where noted</x:v>
      </x:c>
      <x:c r="AT65" t="str">
        <x:v>Bimanual</x:v>
      </x:c>
      <x:c r="AU65" t="n">
        <x:v>2</x:v>
      </x:c>
      <x:c r="AV65" t="str">
        <x:v>OpenAlex</x:v>
      </x:c>
      <x:c r="AW65" t="str">
        <x:v>2026-09-25</x:v>
      </x:c>
      <x:c r="AX65" t="str">
        <x:v>只观察单手交互时，预测完整双手物体操作序列并不容易。</x:v>
      </x:c>
      <x:c r="AY65" t="str">
        <x:v>Unknown / Needs Full-Paper Verification</x:v>
      </x:c>
      <x:c r="AZ65" t="str">
        <x:v>以 `Unknown` 为主要方法/能力线索；更细的结构和消融结论待正文核验。</x:v>
      </x:c>
      <x:c r="BA65" t="str">
        <x:v>论文的双手操作序列数据集；具体设置需核对官方正文。</x:v>
      </x:c>
      <x:c r="BB65" t="str">
        <x:v>Unknown / Needs Full-Paper Verification</x:v>
      </x:c>
      <x:c r="BC65" t="str">
        <x:v>- 官方题名与元数据已确认；具体表述待补读官方摘要或正文。</x:v>
      </x:c>
      <x:c r="BD65" t="str">
        <x:v>Real Robot 字段为 `No`；Dataset、Benchmark、Robot Platform 中的 Unknown 继续保留，不从题名推断。</x:v>
      </x:c>
      <x:c r="BE65" t="str">
        <x:v>作者摘要报告优于所比较的位姿预测方法；未核验统一数字。</x:v>
      </x:c>
      <x:c r="BF65" t="str">
        <x:v>Unknown / Needs Full-Paper Verification</x:v>
      </x:c>
      <x:c r="BG65" t="str">
        <x:v>Library Analysis / Research Note: Unknown / Needs Full-Paper Verification</x:v>
      </x:c>
      <x:c r="BH65" t="str">
        <x:v>Unknown</x:v>
      </x:c>
      <x:c r="BI65" t="str">
        <x:v>B</x:v>
      </x:c>
      <x:c r="BJ65"/>
      <x:c r="BK65" t="str">
        <x:v>Unknown / Not Explicitly Reported in the currently accessible sources.</x:v>
      </x:c>
      <x:c r="BL65" t="str">
        <x:v>Unknown / Not Explicitly Reported in the currently accessible sources.</x:v>
      </x:c>
      <x:c r="BM65" t="str">
        <x:v>https://openalex.org/W4393158202</x:v>
      </x:c>
      <x:c r="BN65" t="str">
        <x:v>https://ojs.aaai.org/index.php/AAAI/article/view/28266；官方摘要/论文集元数据</x:v>
      </x:c>
      <x:c r="BO65" t="str">
        <x:v>B-Code-Unverified</x:v>
      </x:c>
      <x:c r="BP65" t="str">
        <x:v>Not Found</x:v>
      </x:c>
      <x:c r="BQ65" t="str">
        <x:v>Unavailable</x:v>
      </x:c>
      <x:c r="BR65" t="str">
        <x:v>Unknown</x:v>
      </x:c>
      <x:c r="BS65" t="str">
        <x:v>https://ojs.aaai.org/index.php/AAAI/article/download/28266/28523</x:v>
      </x:c>
      <x:c r="BT65" t="str">
        <x:v>No</x:v>
      </x:c>
      <x:c r="BU65" t="str">
        <x:v>No</x:v>
      </x:c>
      <x:c r="BV65" t="str">
        <x:v>No</x:v>
      </x:c>
      <x:c r="BW65" t="str">
        <x:v>No</x:v>
      </x:c>
      <x:c r="BX65" t="str">
        <x:v>No</x:v>
      </x:c>
      <x:c r="BY65" t="str">
        <x:v>No</x:v>
      </x:c>
      <x:c r="BZ65" t="str">
        <x:v>No</x:v>
      </x:c>
      <x:c r="CA65" t="str">
        <x:v>Matched</x:v>
      </x:c>
      <x:c r="CB65" t="str">
        <x:v>Not Found After Verification</x:v>
      </x:c>
      <x:c r="CC65" t="str">
        <x:v>Not Found After Verification</x:v>
      </x:c>
      <x:c r="CD65" t="str">
        <x:v>Audit logged - deep extraction pending</x:v>
      </x:c>
      <x:c r="CE65" t="str">
        <x:v>false</x:v>
      </x:c>
      <x:c r="CF65"/>
      <x:c r="CG65" t="str">
        <x:v>研究问题：只观察单手交互时，预测完整双手物体操作序列并不容易。；之前方法的问题：单手观测没有直接提供另一只手的未来接触与运动。；核心思路：从单手观测推断物体与双手的后续运动，形成双手操作序列预测。；数据集与评测基准：论文的双手操作序列数据集；具体设置需核对官方正文。；主要结果：作者摘要报告优于所比较的位姿预测方法；未核验统一数字。；为什么重要：为从单手数据推断双臂任务结构提供可能的监督信号。；与当前项目的关系：Medium：人体动作到普通夹爪仍有本体差异。；主要局限：卡片原先的方法细节占位，需回官方论文核对预测结构与失败案例。</x:v>
      </x:c>
      <x:c r="CH65" t="str">
        <x:v>单手观测没有直接提供另一只手的未来接触与运动。</x:v>
      </x:c>
      <x:c r="CI65" t="str">
        <x:v>从单手观测推断物体与双手的后续运动，形成双手操作序列预测。</x:v>
      </x:c>
      <x:c r="CJ65"/>
      <x:c r="CK65" t="str">
        <x:v>作者摘要报告优于所比较的位姿预测方法；未核验统一数字。</x:v>
      </x:c>
      <x:c r="CL65" t="str">
        <x:v>为从单手数据推断双臂任务结构提供可能的监督信号。</x:v>
      </x:c>
      <x:c r="CM65" t="str">
        <x:v>卡片原先的方法细节占位，需回官方论文核对预测结构与失败案例。</x:v>
      </x:c>
      <x:c r="CN65"/>
      <x:c r="CO65" t="str">
        <x:v>Medium：人体动作到普通夹爪仍有本体差异。</x:v>
      </x:c>
      <x:c r="CP65" t="str">
        <x:v>OpenAlex 索引摘要; https://api.openalex.org/works/W4393158202; 核验于 2026-09-23. 仅为摘要级速读；原 Evidence Quality 不变。 - 核验层级：摘要有可追溯来源</x:v>
      </x:c>
      <x:c r="CQ65" t="str">
        <x:v>doi</x:v>
      </x:c>
      <x:c r="CR65" t="n">
        <x:v>0</x:v>
      </x:c>
      <x:c r="CS65" t="n">
        <x:v>0</x:v>
      </x:c>
    </x:row>
    <x:row r="66" ht="58" customHeight="1">
      <x:c r="A66" t="str">
        <x:v>A065</x:v>
      </x:c>
      <x:c r="B66" t="str">
        <x:v>2HandedAfforder: Learning Precise Actionable Bimanual Affordances from Human Videos</x:v>
      </x:c>
      <x:c r="C66" t="str">
        <x:v>Heidinger, Marvin; Jauhri, Snehal; Prasad, Vignesh; Chalvatzaki, Georgia</x:v>
      </x:c>
      <x:c r="D66" t="n">
        <x:v>2025</x:v>
      </x:c>
      <x:c r="E66" t="str">
        <x:v>ICCV</x:v>
      </x:c>
      <x:c r="F66" t="str">
        <x:v>A</x:v>
      </x:c>
      <x:c r="G66" t="str">
        <x:v>Official Conference Paper</x:v>
      </x:c>
      <x:c r="H66" t="str">
        <x:v>Method Paper</x:v>
      </x:c>
      <x:c r="I66" t="str">
        <x:v>Bimanual Manipulation; Robot Manipulation</x:v>
      </x:c>
      <x:c r="J66" t="str">
        <x:v>Human Video / Affordance</x:v>
      </x:c>
      <x:c r="K66" t="str">
        <x:v>Unknown</x:v>
      </x:c>
      <x:c r="L66" t="e">
        <x:f>HYPERLINK("https://openaccess.thecvf.com/content/ICCV2025/html/Heidinger_2HandedAfforder_Learning_Precise_Actionable_Bimanual_Affordances_from_Human_Videos_ICCV_2025_paper.html","论文")</x:f>
        <x:v>HYPERLINK is not implemented. linkLocation=https://openaccess.thecvf.com/content/ICCV2025/html/Heidinger_2HandedAfforder_Learning_Precise_Actionable_Bimanual_Affordances_from_Human_Videos_ICCV_2025_paper.html, friendlyName=论文</x:v>
      </x:c>
      <x:c r="M66" t="str">
        <x:v>Unknown</x:v>
      </x:c>
      <x:c r="N66" t="str">
        <x:v>Unknown</x:v>
      </x:c>
      <x:c r="O66" t="str">
        <x:v>Unknown</x:v>
      </x:c>
      <x:c r="P66" t="str">
        <x:v>Unknown</x:v>
      </x:c>
      <x:c r="Q66" t="str">
        <x:v>Unknown</x:v>
      </x:c>
      <x:c r="R66" t="str">
        <x:v>Unknown</x:v>
      </x:c>
      <x:c r="S66" t="str">
        <x:v>Unknown</x:v>
      </x:c>
      <x:c r="T66" t="str">
        <x:v>Unknown</x:v>
      </x:c>
      <x:c r="U66" t="str">
        <x:v>Unknown</x:v>
      </x:c>
      <x:c r="V66" t="str">
        <x:v>Bimanual / Parallel Gripper</x:v>
      </x:c>
      <x:c r="W66" t="str">
        <x:v>Bimanual</x:v>
      </x:c>
      <x:c r="X66" t="str">
        <x:v>Parallel Gripper</x:v>
      </x:c>
      <x:c r="Y66" t="str">
        <x:v>Yes</x:v>
      </x:c>
      <x:c r="Z66" t="str">
        <x:v>Unknown</x:v>
      </x:c>
      <x:c r="AA66" t="str">
        <x:v>Unknown</x:v>
      </x:c>
      <x:c r="AB66" t="str">
        <x:v>Unknown</x:v>
      </x:c>
      <x:c r="AC66" t="str">
        <x:v>P0</x:v>
      </x:c>
      <x:c r="AD66" t="str">
        <x:v>Official proceedings verified; CCF A via user-provided CCF 7th-edition venue mapping</x:v>
      </x:c>
      <x:c r="AE66" t="str">
        <x:v>2026-09-19</x:v>
      </x:c>
      <x:c r="AF66" t="str">
        <x:v>Formal main-conference paper verified from official proceedings. Unchecked metadata remains Unknown.</x:v>
      </x:c>
      <x:c r="AG66" t="str">
        <x:v>CCF A Conference</x:v>
      </x:c>
      <x:c r="AH66" t="str">
        <x:v>Official Conference Paper</x:v>
      </x:c>
      <x:c r="AI66" t="str">
        <x:v>No</x:v>
      </x:c>
      <x:c r="AJ66" t="str">
        <x:v>02_Papers/03_Bimanual/2HandedAfforder.md</x:v>
      </x:c>
      <x:c r="AK66" t="str">
        <x:v>Strict CCF A</x:v>
      </x:c>
      <x:c r="AL66" t="str">
        <x:v>https://openaccess.thecvf.com/content/ICCV2025/html/Heidinger_2HandedAfforder_Learning_Precise_Actionable_Bimanual_Affordances_from_Human_Videos_ICCV_2025_paper.html; official abstract/proceedings metadata</x:v>
      </x:c>
      <x:c r="AM66" t="str">
        <x:v>Abstract-level</x:v>
      </x:c>
      <x:c r="AN66" t="str">
        <x:v>Human Video / Affordance</x:v>
      </x:c>
      <x:c r="AO66" t="str">
        <x:v>See canonical card Research Summary; generated only from official abstract-level evidence.</x:v>
      </x:c>
      <x:c r="AP66" t="str">
        <x:v>Unknown</x:v>
      </x:c>
      <x:c r="AQ66" t="str">
        <x:v>Real Robot=Yes; Dataset/Benchmark/Robot Platform retain Unknown when not verified.</x:v>
      </x:c>
      <x:c r="AR66" t="str">
        <x:v>** 与 NERO 双臂、普通夹爪、示范采集和双臂策略学习直接相关，优先评估动作表示与协同控制是否可迁移。</x:v>
      </x:c>
      <x:c r="AS66" t="str">
        <x:v>Project-stated CCF seventh-edition mapping; official row pending where noted</x:v>
      </x:c>
      <x:c r="AT66" t="str">
        <x:v>Bimanual</x:v>
      </x:c>
      <x:c r="AU66" t="n">
        <x:v>0</x:v>
      </x:c>
      <x:c r="AV66" t="str">
        <x:v>OpenAlex</x:v>
      </x:c>
      <x:c r="AW66" t="str">
        <x:v>2026-09-25</x:v>
      </x:c>
      <x:c r="AX66" t="str">
        <x:v>人类视频包含丰富双手交互，但普通 affordance 标签难指出左右手各自可操作的区域。</x:v>
      </x:c>
      <x:c r="AY66" t="str">
        <x:v>Unknown / Needs Full-Paper Verification</x:v>
      </x:c>
      <x:c r="AZ66" t="str">
        <x:v>以 `Unknown` 为主要方法/能力线索；更细的结构和消融结论待正文核验。</x:v>
      </x:c>
      <x:c r="BA66" t="str">
        <x:v>ActAffordance 等双手 affordance 评测；具体分数见官方 PDF。</x:v>
      </x:c>
      <x:c r="BB66" t="str">
        <x:v>Unknown / Needs Full-Paper Verification</x:v>
      </x:c>
      <x:c r="BC66" t="str">
        <x:v>- In this work, we propose a framework for extracting affordance data from human activity video datasets.</x:v>
      </x:c>
      <x:c r="BD66" t="str">
        <x:v>Real Robot 字段为 `Yes`；Dataset、Benchmark、Robot Platform 中的 Unknown 继续保留，不从题名推断。</x:v>
      </x:c>
      <x:c r="BE66" t="str">
        <x:v>已访问的官方 PDF 支持方法与评测设置；快速摘要暂不填入未重新提取的数值。</x:v>
      </x:c>
      <x:c r="BF66" t="str">
        <x:v>Unknown / Needs Full-Paper Verification</x:v>
      </x:c>
      <x:c r="BG66" t="str">
        <x:v>Library Analysis / Research Note: Unknown / Needs Full-Paper Verification</x:v>
      </x:c>
      <x:c r="BH66" t="str">
        <x:v>Unknown</x:v>
      </x:c>
      <x:c r="BI66" t="str">
        <x:v>A</x:v>
      </x:c>
      <x:c r="BJ66" t="str">
        <x:v>Idea Clue 1: evaluate predicted left/right/both affordances as a front-end for dual-arm task planning. Evidence: explicit hand-taxonomy decoder. Why relevant: actionable perception before VLA action generation.</x:v>
      </x:c>
      <x:c r="BK66" t="str">
        <x:v>VLM-based versus CLIP-based affordance predictor is reported; exact ablation numbers require table extraction.</x:v>
      </x:c>
      <x:c r="BL66" t="str">
        <x:v>The paper notes ambiguity/multi-modality of valid interaction regions; exact failure examples require figure-level review.</x:v>
      </x:c>
      <x:c r="BM66" t="str">
        <x:v>https://openalex.org/W4416031407</x:v>
      </x:c>
      <x:c r="BN66" t="str">
        <x:v>https://openaccess.thecvf.com/content/ICCV2025/html/Heidinger_2HandedAfforder_Learning_Precise_Actionable_Bimanual_Affordances_from_Human_Videos_ICCV_2025_paper.html；官方摘要/论文集元数据</x:v>
      </x:c>
      <x:c r="BO66" t="str">
        <x:v>A-Upgraded</x:v>
      </x:c>
      <x:c r="BP66" t="str">
        <x:v>Available - Verified</x:v>
      </x:c>
      <x:c r="BQ66" t="str">
        <x:v>Unavailable</x:v>
      </x:c>
      <x:c r="BR66" t="str">
        <x:v>Unknown</x:v>
      </x:c>
      <x:c r="BS66" t="str">
        <x:v>https://openaccess.thecvf.com/content/ICCV2025/papers/Heidinger_2HandedAfforder_Learning_Precise_Actionable_Bimanual_Affordances_from_Human_Videos_ICCV_2025_paper.pdf</x:v>
      </x:c>
      <x:c r="BT66" t="str">
        <x:v>No</x:v>
      </x:c>
      <x:c r="BU66" t="str">
        <x:v>No</x:v>
      </x:c>
      <x:c r="BV66" t="str">
        <x:v>No</x:v>
      </x:c>
      <x:c r="BW66" t="str">
        <x:v>No</x:v>
      </x:c>
      <x:c r="BX66" t="str">
        <x:v>No</x:v>
      </x:c>
      <x:c r="BY66" t="str">
        <x:v>No</x:v>
      </x:c>
      <x:c r="BZ66" t="str">
        <x:v>No</x:v>
      </x:c>
      <x:c r="CA66" t="str">
        <x:v>Matched</x:v>
      </x:c>
      <x:c r="CB66" t="str">
        <x:v>Not Found After Verification</x:v>
      </x:c>
      <x:c r="CC66" t="str">
        <x:v>Not Found After Verification</x:v>
      </x:c>
      <x:c r="CD66" t="str">
        <x:v>Audit logged - deep extraction pending</x:v>
      </x:c>
      <x:c r="CE66" t="str">
        <x:v>false</x:v>
      </x:c>
      <x:c r="CF66"/>
      <x:c r="CG66" t="str">
        <x:v>研究问题：人类视频包含丰富双手交互，但普通 affordance 标签难指出左右手各自可操作的区域。；之前方法的问题：只标记物体可抓取，不足以指导双手分工和具体接触位置。；核心思路：用 VLM 产生分割提示，再由左右手 mask 解码器预测可执行区域，并分类单手或双手交互。；数据集与评测基准：ActAffordance 等双手 affordance 评测；具体分数见官方 PDF。；主要结果：已访问的官方 PDF 支持方法与评测设置；快速摘要暂不填入未重新提取的数值。；为什么重要：直接关系到普通夹爪在同一物体上的双臂接触分工。；与当前项目的关系：High：可用于双臂 joint affordance 和动作前检查。；主要局限：精确数值与失败图例仍需对照论文图表；人手区域到普通夹爪的迁移需验证。</x:v>
      </x:c>
      <x:c r="CH66" t="str">
        <x:v>只标记物体可抓取，不足以指导双手分工和具体接触位置。</x:v>
      </x:c>
      <x:c r="CI66" t="str">
        <x:v>用 VLM 产生分割提示，再由左右手 mask 解码器预测可执行区域，并分类单手或双手交互。</x:v>
      </x:c>
      <x:c r="CJ66" t="str">
        <x:v>VLM-based model compared with 2HandedAfforder-CLIP; exact additional baselines and table values require full PDF extraction.</x:v>
      </x:c>
      <x:c r="CK66" t="str">
        <x:v>已访问的官方 PDF 支持方法与评测设置；快速摘要暂不填入未重新提取的数值。</x:v>
      </x:c>
      <x:c r="CL66" t="str">
        <x:v>直接关系到普通夹爪在同一物体上的双臂接触分工。</x:v>
      </x:c>
      <x:c r="CM66" t="str">
        <x:v>精确数值与失败图例仍需对照论文图表；人手区域到普通夹爪的迁移需验证。</x:v>
      </x:c>
      <x:c r="CN66" t="str">
        <x:v>Library Analysis: converting human-video affordance masks into robust closed-loop dual-arm gripper actions remains open.</x:v>
      </x:c>
      <x:c r="CO66" t="str">
        <x:v>High：可用于双臂 joint affordance 和动作前检查。</x:v>
      </x:c>
      <x:c r="CP66" t="str">
        <x:v>官方摘要/论文页; https://openaccess.thecvf.com/content/ICCV2025/html/Heidinger_2HandedAfforder_Learning_Precise_Actionable_Bimanual_Affordances_from_Human_Videos_ICCV_2025_paper.html; 核验于 2026-09-23. 仅为摘要级速读；原 Evidence Quality 不变。 - 核验层级：摘要有可追溯来源</x:v>
      </x:c>
      <x:c r="CQ66" t="str">
        <x:v>title</x:v>
      </x:c>
      <x:c r="CR66" t="n">
        <x:v>0</x:v>
      </x:c>
      <x:c r="CS66" t="n">
        <x:v>0</x:v>
      </x:c>
    </x:row>
    <x:row r="67">
      <x:c r="A67" t="str">
        <x:v>A066</x:v>
      </x:c>
      <x:c r="B67" t="str">
        <x:v>ReconVLA: Reconstructive Vision-Language-Action Model as Effective Robot Perceiver</x:v>
      </x:c>
      <x:c r="C67" t="str">
        <x:v>Wenxuan Song; Ziyang Zhou; Han Zhao; Jiayi Chen; Pengxiang Ding; Haodong Yan; Yuxin Huang; Feilong Tang; Donglin Wang; Haoang Li</x:v>
      </x:c>
      <x:c r="D67" t="n">
        <x:v>2026</x:v>
      </x:c>
      <x:c r="E67" t="str">
        <x:v>AAAI</x:v>
      </x:c>
      <x:c r="F67" t="str">
        <x:v>A</x:v>
      </x:c>
      <x:c r="G67" t="str">
        <x:v>Official Conference Paper</x:v>
      </x:c>
      <x:c r="H67" t="str">
        <x:v>Method Paper</x:v>
      </x:c>
      <x:c r="I67" t="str">
        <x:v>VLA; Robot Manipulation; Generalization; Diffusion</x:v>
      </x:c>
      <x:c r="J67" t="str">
        <x:v>Visual Grounding / Robot Perception / Gaze-Region Reconstruction</x:v>
      </x:c>
      <x:c r="K67" t="str">
        <x:v>VLA; Robot Manipulation; Visual Grounding; Robot Perception; Implicit Grounding; Gaze-Region Reconstruction; Generalization; Diffusion Transformer</x:v>
      </x:c>
      <x:c r="L67" t="e">
        <x:f>HYPERLINK("https://ojs.aaai.org/index.php/AAAI/article/view/38921","论文")</x:f>
        <x:v>HYPERLINK is not implemented. linkLocation=https://ojs.aaai.org/index.php/AAAI/article/view/38921, friendlyName=论文</x:v>
      </x:c>
      <x:c r="M67" t="e">
        <x:f>HYPERLINK("https://doi.org/10.1609/aaai.v40i22.38921","DOI")</x:f>
        <x:v>HYPERLINK is not implemented. linkLocation=https://doi.org/10.1609/aaai.v40i22.38921, friendlyName=DOI</x:v>
      </x:c>
      <x:c r="N67" t="e">
        <x:f>HYPERLINK("https://arxiv.org/abs/2508.10333","arXiv")</x:f>
        <x:v>HYPERLINK is not implemented. linkLocation=https://arxiv.org/abs/2508.10333, friendlyName=arXiv</x:v>
      </x:c>
      <x:c r="O67" t="e">
        <x:f>HYPERLINK("https://zionchow.github.io/ReconVLA/","Project")</x:f>
        <x:v>HYPERLINK is not implemented. linkLocation=https://zionchow.github.io/ReconVLA/, friendlyName=Project</x:v>
      </x:c>
      <x:c r="P67" t="e">
        <x:f>HYPERLINK("https://github.com/OpenHelix-Team/ReconVLA","GitHub")</x:f>
        <x:v>HYPERLINK is not implemented. linkLocation=https://github.com/OpenHelix-Team/ReconVLA, friendlyName=GitHub</x:v>
      </x:c>
      <x:c r="Q67" t="str">
        <x:v>Released</x:v>
      </x:c>
      <x:c r="R67" t="str">
        <x:v>Unknown</x:v>
      </x:c>
      <x:c r="S67" t="str">
        <x:v>Unknown — no author-released ReconVLA checkpoint located</x:v>
      </x:c>
      <x:c r="T67" t="str">
        <x:v>Partial — source datasets and preprocessing instructions are public; compiled pretraining dataset release not verified</x:v>
      </x:c>
      <x:c r="U67" t="str">
        <x:v>Franka Panda (CALVIN simulation); real-world platform not confirmed at abstract level</x:v>
      </x:c>
      <x:c r="V67" t="str">
        <x:v>Single Arm / Parallel Gripper</x:v>
      </x:c>
      <x:c r="W67" t="str">
        <x:v>Single Arm</x:v>
      </x:c>
      <x:c r="X67" t="str">
        <x:v>Parallel Gripper</x:v>
      </x:c>
      <x:c r="Y67" t="str">
        <x:v>Yes</x:v>
      </x:c>
      <x:c r="Z67" t="str">
        <x:v>BridgeData V2; LIBERO; CALVIN (source datasets); curated 100k+ trajectories / 2M samples reported</x:v>
      </x:c>
      <x:c r="AA67" t="str">
        <x:v>CALVIN; real-world manipulation tasks</x:v>
      </x:c>
      <x:c r="AB67" t="str">
        <x:v>Yes (CALVIN)</x:v>
      </x:c>
      <x:c r="AC67" t="str">
        <x:v>P1</x:v>
      </x:c>
      <x:c r="AD67" t="str">
        <x:v>Official AAAI proceedings, arXiv, author project page, and official repository verified; CCF A verified on current official CCF list</x:v>
      </x:c>
      <x:c r="AE67" t="str">
        <x:v>2026-09-20</x:v>
      </x:c>
      <x:c r="AF67" t="str">
        <x:v>Special Attention: Yes. Abstract-level / . Code status reflects static verification of training, evaluation, and preprocessing implementation; no local run.</x:v>
      </x:c>
      <x:c r="AG67" t="str">
        <x:v>CCF A Conference</x:v>
      </x:c>
      <x:c r="AH67" t="str">
        <x:v>Official Conference Paper</x:v>
      </x:c>
      <x:c r="AI67" t="str">
        <x:v>Yes</x:v>
      </x:c>
      <x:c r="AJ67" t="str">
        <x:v>02_Papers/01_VLA/ReconVLA.md</x:v>
      </x:c>
      <x:c r="AK67" t="str">
        <x:v>Strict CCF A</x:v>
      </x:c>
      <x:c r="AL67" t="str">
        <x:v>https://ojs.aaai.org/index.php/AAAI/article/view/38921; https://arxiv.org/abs/2508.10333; https://zionchow.github.io/ReconVLA/; https://github.com/OpenHelix-Team/ReconVLA</x:v>
      </x:c>
      <x:c r="AM67" t="str">
        <x:v>Abstract-level / </x:v>
      </x:c>
      <x:c r="AN67" t="str">
        <x:v>Current VLA models often allocate dispersed visual attention and fail to focus precisely on task target regions.</x:v>
      </x:c>
      <x:c r="AO67" t="str">
        <x:v>Introduces reconstructive VLA with implicit grounding and a robot pretraining dataset of 100k+ trajectories and 2M samples.</x:v>
      </x:c>
      <x:c r="AP67" t="str">
        <x:v>A diffusion transformer reconstructs gaze regions from VLA visual outputs, encouraging fine-grained target-region representations and accurate visual attention.</x:v>
      </x:c>
      <x:c r="AQ67" t="str">
        <x:v>Official paper reports CALVIN simulation and real-world experiments supporting precise manipulation, long-horizon performance, and generalization to unseen targets.</x:v>
      </x:c>
      <x:c r="AR67" t="str">
        <x:v>** 适合用于研究 VLA 感知瓶颈、目标区域 grounding 与操作策略联合训练；其辅助重建目标可作为提升复杂场景目标选择和泛化能力的参考。</x:v>
      </x:c>
      <x:c r="AS67" t="str">
        <x:v>Current official CCF Artificial Intelligence list checked 2026-09-20: AAAI is A</x:v>
      </x:c>
      <x:c r="AT67" t="str">
        <x:v>VLA</x:v>
      </x:c>
      <x:c r="AU67" t="n">
        <x:v>3</x:v>
      </x:c>
      <x:c r="AV67" t="str">
        <x:v>OpenAlex</x:v>
      </x:c>
      <x:c r="AW67" t="str">
        <x:v>2026-09-25</x:v>
      </x:c>
      <x:c r="AX67" t="str">
        <x:v>VLA 的视觉注意可能落在任务无关区域，削弱精细操作与泛化。</x:v>
      </x:c>
      <x:c r="AY67" t="str">
        <x:v>Unknown / Needs Full-Paper Verification</x:v>
      </x:c>
      <x:c r="AZ67" t="str">
        <x:v>模型从 VLA 的视觉输出生成重建条件，由轻量 diffusion transformer 从噪声重建对应目标操作对象的 ga</x:v>
      </x:c>
      <x:c r="BA67" t="str">
        <x:v>卡片记录 BridgeData V2、LIBERO、CALVIN 相关数据和评测；具体分工与规模见论文 Sec. 3.4。</x:v>
      </x:c>
      <x:c r="BB67" t="str">
        <x:v>Unknown / Needs Full-Paper Verification</x:v>
      </x:c>
      <x:c r="BC67" t="str">
        <x:v>提出 ReconVLA，以凝视区域重建作为辅助视觉监督，在不依赖额外 grounding 输入或显式边界框输出的情况下提升 VLA 的视觉 grounding；并构建包含 100k+ 轨迹和 2M 数据样本的机器人预训练数据集以增强视觉重建泛化。</x:v>
      </x:c>
      <x:c r="BD67" t="str">
        <x:v>官方论文报告在 CALVIN 仿真和真实机器人任务上进行实验，并比较 implicit grounding、explicit grounding 与 chain-of-thought grounding；结果支持其精确操作、长时序任务和未见目标泛化能力。</x:v>
      </x:c>
      <x:c r="BE67" t="str">
        <x:v>Unknown / Needs Full-Paper Verification</x:v>
      </x:c>
      <x:c r="BF67" t="str">
        <x:v>Unknown / Needs Full-Paper Verification</x:v>
      </x:c>
      <x:c r="BG67" t="str">
        <x:v>Library Analysis / Research Note: Unknown / Needs Full-Paper Verification</x:v>
      </x:c>
      <x:c r="BH67" t="str">
        <x:v>VLA; Robot Manipulation; Visual Grounding; Robot Perception; Implicit Grounding; Gaze-Region Reconstruction; Generalization; Diffusion Transformer</x:v>
      </x:c>
      <x:c r="BI67" t="str">
        <x:v>A</x:v>
      </x:c>
      <x:c r="BJ67" t="str">
        <x:v>Idea Clue 1: test implicit gaze reconstruction on dual-arm ordinary-gripper tasks with distractor objects. Evidence: official target-region grounding motivation. Why relevant: maps directly to current VLA perception bottleneck.</x:v>
      </x:c>
      <x:c r="BK67" t="str">
        <x:v>Not Reported in the official abstract/project evidence rechecked for this batch.</x:v>
      </x:c>
      <x:c r="BL67" t="str">
        <x:v>Not Explicitly Reported in the accessible official abstract/project evidence.</x:v>
      </x:c>
      <x:c r="BM67" t="str">
        <x:v>https://openalex.org/W7137985120</x:v>
      </x:c>
      <x:c r="BN67" t="str">
        <x:v>https://ojs.aaai.org/index.php/AAAI/article/view/38921；https://arxiv.org/abs/2508.10333；https://zionchow.github.io/ReconVLA/；https://github.com/OpenHelix-Team/ReconVLA</x:v>
      </x:c>
      <x:c r="BO67" t="str">
        <x:v>A-Upgraded</x:v>
      </x:c>
      <x:c r="BP67" t="str">
        <x:v>Available - Verified</x:v>
      </x:c>
      <x:c r="BQ67" t="str">
        <x:v>Mostly Complete</x:v>
      </x:c>
      <x:c r="BR67" t="str">
        <x:v>Franka Panda (CALVIN simulation); real-world platform not confirmed at abstract level</x:v>
      </x:c>
      <x:c r="BS67" t="str">
        <x:v>https://ojs.aaai.org/index.php/AAAI/article/download/38921/42883</x:v>
      </x:c>
      <x:c r="BT67" t="str">
        <x:v>No</x:v>
      </x:c>
      <x:c r="BU67" t="str">
        <x:v>No</x:v>
      </x:c>
      <x:c r="BV67" t="str">
        <x:v>No</x:v>
      </x:c>
      <x:c r="BW67" t="str">
        <x:v>No</x:v>
      </x:c>
      <x:c r="BX67" t="str">
        <x:v>No</x:v>
      </x:c>
      <x:c r="BY67" t="str">
        <x:v>No</x:v>
      </x:c>
      <x:c r="BZ67" t="str">
        <x:v>No</x:v>
      </x:c>
      <x:c r="CA67" t="str">
        <x:v>Matched</x:v>
      </x:c>
      <x:c r="CB67" t="str">
        <x:v>Not Found After Verification</x:v>
      </x:c>
      <x:c r="CC67" t="str">
        <x:v>Not Found After Verification</x:v>
      </x:c>
      <x:c r="CD67" t="str">
        <x:v>Audit logged - deep extraction pending</x:v>
      </x:c>
      <x:c r="CE67" t="str">
        <x:v>false</x:v>
      </x:c>
      <x:c r="CF67"/>
      <x:c r="CG67" t="str">
        <x:v>研究问题：VLA 的视觉注意可能落在任务无关区域，削弱精细操作与泛化。；之前方法的问题：原有 VLA 难以稳定把视觉注意对准目标区域；显式标注 Grounding 的方案又可能增加数据要求。；核心思路：ReconVLA 用扩散式重建目标注视区域，促使视觉表示聚焦被操作物体，同时保留动作预测。；输入：RGB 图像历史和语言指令；重建注视区域作为中间视觉目标（Sec. 3、Fig. 2）。；为什么重要：直接对应本项目的目标 Grounding 与动作前目标核验。；与当前项目的关系：High：有助于研究语言条件操作与 VLA 设计。；主要局限：作者指出性能取决于目标区域重建是否正确；公开评测主要集中在 CALVIN 与有限真机任务。跨本体和新相机条件仍需验证。</x:v>
      </x:c>
      <x:c r="CH67" t="str">
        <x:v>原有 VLA 难以稳定把视觉注意对准目标区域；显式标注 Grounding 的方案又可能增加数据要求。</x:v>
      </x:c>
      <x:c r="CI67" t="str">
        <x:v>ReconVLA 用扩散式重建目标注视区域，促使视觉表示聚焦被操作物体，同时保留动作预测。</x:v>
      </x:c>
      <x:c r="CJ67" t="str">
        <x:v>Official abstract confirms comparison of implicit grounding against alternative grounding paradigms; exact named baselines and metric table require full PDF extraction.</x:v>
      </x:c>
      <x:c r="CK67" t="str">
        <x:v>AAAI 官方摘要报告操作精度和泛化改善；快速摘要不添加尚未核对表格的数值。</x:v>
      </x:c>
      <x:c r="CL67" t="str">
        <x:v>直接对应本项目的目标 Grounding 与动作前目标核验。</x:v>
      </x:c>
      <x:c r="CM67" t="str">
        <x:v>作者指出性能取决于目标区域重建是否正确；公开评测主要集中在 CALVIN 与有限真机任务。跨本体和新相机条件仍需验证。</x:v>
      </x:c>
      <x:c r="CN67" t="str">
        <x:v>Library Analysis: calibration of reconstructed attention under occlusion, clutter and multi-object bimanual scenes remains open.</x:v>
      </x:c>
      <x:c r="CO67" t="str">
        <x:v>High：有助于研究语言条件操作与 VLA 设计。</x:v>
      </x:c>
      <x:c r="CP67" t="str">
        <x:v>官方摘要/论文页; https://arxiv.org/html/2508.10333; 核验于 2026-09-23. 仅为摘要级速读；原 Evidence Quality 不变。 - 核验层级：摘要有可追溯来源</x:v>
      </x:c>
      <x:c r="CQ67" t="str">
        <x:v>doi</x:v>
      </x:c>
      <x:c r="CR67" t="n">
        <x:v>7</x:v>
      </x:c>
      <x:c r="CS67" t="n">
        <x:v>1</x:v>
      </x:c>
    </x:row>
  </x:sheetData>
  <x:dataValidations count="10">
    <x:dataValidation type="list" sqref="F2:F51">
      <x:formula1>"A"</x:formula1>
    </x:dataValidation>
    <x:dataValidation type="list" sqref="H2:H51">
      <x:formula1>"Method Paper,Survey / Review,Dataset / Benchmark,System / Platform,Position / Perspective,Workshop Paper,Journal Paper,Other"</x:formula1>
    </x:dataValidation>
    <x:dataValidation type="list" sqref="Q2:Q51">
      <x:formula1>"Released,Partial,Coming Soon,None,Unknown"</x:formula1>
    </x:dataValidation>
    <x:dataValidation type="list" sqref="Y2:Y51">
      <x:formula1>"Yes,No,Mixed,Unknown"</x:formula1>
    </x:dataValidation>
    <x:dataValidation type="list" sqref="AC2:AC51">
      <x:formula1>"P0,P1,P2,P3"</x:formula1>
    </x:dataValidation>
    <x:dataValidation type="list" sqref="F2:F66">
      <x:formula1>"A"</x:formula1>
    </x:dataValidation>
    <x:dataValidation type="list" sqref="H2:H66">
      <x:formula1>"Method Paper,Survey / Review,Dataset / Benchmark,System / Platform,Position / Perspective,Workshop Paper,Journal Paper,Other"</x:formula1>
    </x:dataValidation>
    <x:dataValidation type="list" sqref="Q2:Q66">
      <x:formula1>"Released,Partial,Coming Soon,None,Unknown"</x:formula1>
    </x:dataValidation>
    <x:dataValidation type="list" sqref="Y2:Y66">
      <x:formula1>"Yes,No,Mixed,Unknown"</x:formula1>
    </x:dataValidation>
    <x:dataValidation type="list" sqref="AC2:AC66">
      <x:formula1>"P0,P1,P2,P3"</x:formula1>
    </x:dataValidation>
  </x:dataValidations>
  <x:pageMargins left="0.7" right="0.7" top="0.75" bottom="0.75" header="0.3" footer="0.3"/>
  <x:tableParts count="1">
    <x:tablePart xmlns:r="http://schemas.openxmlformats.org/officeDocument/2006/relationships" r:id="R6736d1e682044cbf"/>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50" hidden="0" customWidth="1"/>
    <x:col min="3" max="3" width="34"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34" hidden="0" customWidth="1"/>
    <x:col min="12" max="12" width="34" hidden="0" customWidth="1"/>
    <x:col min="13" max="13" width="34" hidden="0" customWidth="1"/>
    <x:col min="14" max="14" width="34" hidden="0" customWidth="1"/>
    <x:col min="15" max="15" width="42" hidden="0" customWidth="1"/>
    <x:col min="16" max="16" width="42" hidden="0" customWidth="1"/>
    <x:col min="17" max="17" width="42"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48" hidden="0" customWidth="1"/>
    <x:col min="31" max="31" width="28" hidden="0" customWidth="1"/>
    <x:col min="32" max="32" width="28" hidden="0" customWidth="1"/>
    <x:col min="33" max="33" width="28" hidden="0" customWidth="1"/>
    <x:col min="34" max="34" width="28" hidden="0" customWidth="1"/>
    <x:col min="35" max="35" width="28" hidden="0" customWidth="1"/>
    <x:col min="36" max="36" width="28" hidden="0" customWidth="1"/>
    <x:col min="37" max="37" width="25" hidden="0" customWidth="1"/>
  </x:cols>
  <x:sheetData>
    <x:row r="1" ht="42" customHeight="1">
      <x:c r="A1" t="str">
        <x:v>ID</x:v>
      </x:c>
      <x:c r="B1" t="str">
        <x:v>Title</x:v>
      </x:c>
      <x:c r="C1" t="str">
        <x:v>Authors</x:v>
      </x:c>
      <x:c r="D1" t="str">
        <x:v>Year</x:v>
      </x:c>
      <x:c r="E1" t="str">
        <x:v>Venue</x:v>
      </x:c>
      <x:c r="F1" t="str">
        <x:v>Venue Type</x:v>
      </x:c>
      <x:c r="G1" t="str">
        <x:v>Publication Type</x:v>
      </x:c>
      <x:c r="H1" t="str">
        <x:v>CCF Level</x:v>
      </x:c>
      <x:c r="I1" t="str">
        <x:v>Research Category</x:v>
      </x:c>
      <x:c r="J1" t="str">
        <x:v>Subcategory</x:v>
      </x:c>
      <x:c r="K1" t="str">
        <x:v>Tags</x:v>
      </x:c>
      <x:c r="L1" t="str">
        <x:v>Problem</x:v>
      </x:c>
      <x:c r="M1" t="str">
        <x:v>Main Contribution</x:v>
      </x:c>
      <x:c r="N1" t="str">
        <x:v>Key Idea</x:v>
      </x:c>
      <x:c r="O1" t="str">
        <x:v>Official Paper</x:v>
      </x:c>
      <x:c r="P1" t="str">
        <x:v>Project Page</x:v>
      </x:c>
      <x:c r="Q1" t="str">
        <x:v>Official GitHub</x:v>
      </x:c>
      <x:c r="R1" t="str">
        <x:v>Code Status</x:v>
      </x:c>
      <x:c r="S1" t="str">
        <x:v>Checkpoint</x:v>
      </x:c>
      <x:c r="T1" t="str">
        <x:v>Dataset</x:v>
      </x:c>
      <x:c r="U1" t="str">
        <x:v>Robot Platform</x:v>
      </x:c>
      <x:c r="V1" t="str">
        <x:v>Embodiment</x:v>
      </x:c>
      <x:c r="W1" t="str">
        <x:v>Real Robot</x:v>
      </x:c>
      <x:c r="X1" t="str">
        <x:v>Priority</x:v>
      </x:c>
      <x:c r="Y1" t="str">
        <x:v>Special Attention</x:v>
      </x:c>
      <x:c r="Z1" t="str">
        <x:v>Verification Status</x:v>
      </x:c>
      <x:c r="AA1" t="str">
        <x:v>Verified Date</x:v>
      </x:c>
      <x:c r="AB1" t="str">
        <x:v>Notes</x:v>
      </x:c>
      <x:c r="AC1" t="str">
        <x:v>Canonical Card Path</x:v>
      </x:c>
      <x:c r="AD1" t="str">
        <x:v>Library Membership</x:v>
      </x:c>
      <x:c r="AE1" t="str">
        <x:v>Summary Sources</x:v>
      </x:c>
      <x:c r="AF1" t="str">
        <x:v>Reading Depth</x:v>
      </x:c>
      <x:c r="AG1" t="str">
        <x:v>Experiment / Validation</x:v>
      </x:c>
      <x:c r="AH1" t="str">
        <x:v>Relevance to Our Project</x:v>
      </x:c>
      <x:c r="AI1" t="str">
        <x:v>CCF Standard Version</x:v>
      </x:c>
      <x:c r="AJ1" t="str">
        <x:v>Primary Category</x:v>
      </x:c>
      <x:c r="AK1" t="str">
        <x:v>Citation Count</x:v>
      </x:c>
      <x:c r="AL1" t="str">
        <x:v>Citation Source</x:v>
      </x:c>
      <x:c r="AM1" t="str">
        <x:v>Citation Checked Date</x:v>
      </x:c>
      <x:c r="AN1" t="str">
        <x:v>Research Problem</x:v>
      </x:c>
      <x:c r="AO1" t="str">
        <x:v>Previous Unsolved Problem</x:v>
      </x:c>
      <x:c r="AP1" t="str">
        <x:v>Model / Method</x:v>
      </x:c>
      <x:c r="AQ1" t="str">
        <x:v>Dataset / Benchmark</x:v>
      </x:c>
      <x:c r="AR1" t="str">
        <x:v>Baseline / SOTA</x:v>
      </x:c>
      <x:c r="AS1" t="str">
        <x:v>Main Contributions</x:v>
      </x:c>
      <x:c r="AT1" t="str">
        <x:v>Experiment Setup</x:v>
      </x:c>
      <x:c r="AU1" t="str">
        <x:v>Main Results</x:v>
      </x:c>
      <x:c r="AV1" t="str">
        <x:v>Limitations</x:v>
      </x:c>
      <x:c r="AW1" t="str">
        <x:v>Remaining Unsolved Problem</x:v>
      </x:c>
      <x:c r="AX1" t="str">
        <x:v>Evidence Quality</x:v>
      </x:c>
      <x:c r="AY1" t="str">
        <x:v>Idea Clues</x:v>
      </x:c>
      <x:c r="AZ1" t="str">
        <x:v>Ablation Study</x:v>
      </x:c>
      <x:c r="BA1" t="str">
        <x:v>Failure Cases</x:v>
      </x:c>
      <x:c r="BB1" t="str">
        <x:v>引用量来源链接</x:v>
      </x:c>
      <x:c r="BC1" t="str">
        <x:v>Evidence Sources</x:v>
      </x:c>
      <x:c r="BD1" t="str">
        <x:v>Evidence Upgrade Status</x:v>
      </x:c>
      <x:c r="BE1" t="str">
        <x:v>Supplement Status</x:v>
      </x:c>
      <x:c r="BF1" t="str">
        <x:v>Code Completeness</x:v>
      </x:c>
      <x:c r="BG1" t="str">
        <x:v>Robot Platform Evidence</x:v>
      </x:c>
      <x:c r="BH1" t="str">
        <x:v>Fulltext URL</x:v>
      </x:c>
      <x:c r="BI1" t="str">
        <x:v>Fulltext Checked</x:v>
      </x:c>
      <x:c r="BJ1" t="str">
        <x:v>Experiment Extracted</x:v>
      </x:c>
      <x:c r="BK1" t="str">
        <x:v>Results Extracted</x:v>
      </x:c>
      <x:c r="BL1" t="str">
        <x:v>Ablation Extracted</x:v>
      </x:c>
      <x:c r="BM1" t="str">
        <x:v>Failure Cases Extracted</x:v>
      </x:c>
      <x:c r="BN1" t="str">
        <x:v>Limitations Extracted</x:v>
      </x:c>
      <x:c r="BO1" t="str">
        <x:v>Remaining Gap Extracted</x:v>
      </x:c>
      <x:c r="BP1" t="str">
        <x:v>Citation Status</x:v>
      </x:c>
      <x:c r="BQ1" t="str">
        <x:v>DOI Status</x:v>
      </x:c>
      <x:c r="BR1" t="str">
        <x:v>arXiv Status</x:v>
      </x:c>
      <x:c r="BS1" t="str">
        <x:v>Deep Enrichment Status</x:v>
      </x:c>
      <x:c r="BT1" t="str">
        <x:v>Deep Enrichment Completed</x:v>
      </x:c>
      <x:c r="BU1" t="str">
        <x:v>Queue Status</x:v>
      </x:c>
      <x:c r="BV1" t="str">
        <x:v>Quick Summary</x:v>
      </x:c>
      <x:c r="BW1" t="str">
        <x:v>Previous Gap</x:v>
      </x:c>
      <x:c r="BX1" t="str">
        <x:v>Core Idea</x:v>
      </x:c>
      <x:c r="BY1" t="str">
        <x:v>Baseline</x:v>
      </x:c>
      <x:c r="BZ1" t="str">
        <x:v>Main Result</x:v>
      </x:c>
      <x:c r="CA1" t="str">
        <x:v>Why It Matters</x:v>
      </x:c>
      <x:c r="CB1" t="str">
        <x:v>Key Limitation</x:v>
      </x:c>
      <x:c r="CC1" t="str">
        <x:v>Remaining Gap</x:v>
      </x:c>
      <x:c r="CD1" t="str">
        <x:v>Project Relevance</x:v>
      </x:c>
      <x:c r="CE1" t="str">
        <x:v>Summary Evidence</x:v>
      </x:c>
      <x:c r="CF1" t="str">
        <x:v>Citation Match Confidence</x:v>
      </x:c>
      <x:c r="CG1" t="str">
        <x:v>References In Library Count</x:v>
      </x:c>
      <x:c r="CH1" t="str">
        <x:v>Cited By In Library Count</x:v>
      </x:c>
    </x:row>
    <x:row r="2" ht="62" customHeight="1">
      <x:c r="A2" t="str">
        <x:v>R001</x:v>
      </x:c>
      <x:c r="B2" t="str">
        <x:v>Sim2Real-VLA: Zero-Shot Generalization of Synthesized Skills to Realistic Manipulation</x:v>
      </x:c>
      <x:c r="C2" t="str">
        <x:v>Runyi Zhao; Sheng Xu; Ruixing Jin; Yueci Deng; Yunxin Tai; Kui Jia; Guiliang Liu</x:v>
      </x:c>
      <x:c r="D2" t="n">
        <x:v>2026</x:v>
      </x:c>
      <x:c r="E2" t="str">
        <x:v>ICLR</x:v>
      </x:c>
      <x:c r="F2" t="str">
        <x:v>Important AI/ML Venue</x:v>
      </x:c>
      <x:c r="G2" t="str">
        <x:v>Official Conference Paper</x:v>
      </x:c>
      <x:c r="H2" t="str">
        <x:v>Unknown (current official CCF directory checked; no authoritative ICLR A row located in accessible current listing)</x:v>
      </x:c>
      <x:c r="I2" t="str">
        <x:v>VLA / Robot Manipulation / Sim2Real</x:v>
      </x:c>
      <x:c r="J2" t="str">
        <x:v>Synthetic-data VLA / zero-shot real-world transfer</x:v>
      </x:c>
      <x:c r="K2" t="str">
        <x:v>VLA; Sim2Real; Robot Manipulation; Synthetic Data; Generalization; Bimanual; Dexterous; Long-horizon</x:v>
      </x:c>
      <x:c r="L2" t="str">
        <x:v>Synthetic-only VLA training often fails to transfer reliably to real manipulation; the paper targets this Sim2Real gap.</x:v>
      </x:c>
      <x:c r="M2" t="str">
        <x:v>Dual-system VLA with high-level chain-of-affordances planning, low-level tokenized action execution/validation, and automated synthetic manipulation-skill generation.</x:v>
      </x:c>
      <x:c r="N2" t="str">
        <x:v>Filter manipulation-irrelevant variation and retain motion-critical affordance structure for zero-shot transfer.</x:v>
      </x:c>
      <x:c r="O2" t="e">
        <x:f>HYPERLINK("https://openreview.net/pdf/a4174c2964dc0df03c26c311b73e0a2e43de2929.pdf","论文")</x:f>
        <x:v>HYPERLINK is not implemented. linkLocation=https://openreview.net/pdf/a4174c2964dc0df03c26c311b73e0a2e43de2929.pdf, friendlyName=论文</x:v>
      </x:c>
      <x:c r="P2" t="e">
        <x:f>HYPERLINK("https://edem-ai.github.io/sim2realvla.github.io/","Project")</x:f>
        <x:v>HYPERLINK is not implemented. linkLocation=https://edem-ai.github.io/sim2realvla.github.io/, friendlyName=Project</x:v>
      </x:c>
      <x:c r="Q2" t="e">
        <x:f>HYPERLINK("https://github.com/DexForce/EmbodiChain","GitHub")</x:f>
        <x:v>HYPERLINK is not implemented. linkLocation=https://github.com/DexForce/EmbodiChain, friendlyName=GitHub</x:v>
      </x:c>
      <x:c r="R2" t="str">
        <x:v>Partial (official project links the paper implementation as an integration into EmbodiChain; no standalone paper repository)</x:v>
      </x:c>
      <x:c r="S2" t="str">
        <x:v>Unknown</x:v>
      </x:c>
      <x:c r="T2" t="str">
        <x:v>Automated synthetic manipulation-skill data; complete public release not confirmed</x:v>
      </x:c>
      <x:c r="U2" t="str">
        <x:v>Multiple real-world setups are shown; exact hardware inventory not extracted at abstract/project level</x:v>
      </x:c>
      <x:c r="V2" t="str">
        <x:v>Single Arm / Bimanual / Dexterous Hand</x:v>
      </x:c>
      <x:c r="W2" t="str">
        <x:v>Yes</x:v>
      </x:c>
      <x:c r="X2" t="str">
        <x:v>P0</x:v>
      </x:c>
      <x:c r="Y2" t="str">
        <x:v>Yes</x:v>
      </x:c>
      <x:c r="Z2" t="str">
        <x:v>ICLR 2026 publication verified through official ICLR Downloads/Proceedings listing, accepted OpenReview PDF, author project page, and author publication list; code remains Partial integration.</x:v>
      </x:c>
      <x:c r="AA2" t="str">
        <x:v>2026-09-21</x:v>
      </x:c>
      <x:c r="AB2" t="str">
        <x:v>Current official CCF directory was checked; ICLR A status was not authoritatively located, so CCF remains Unknown and the paper stays in Robotics Core / Important Papers.</x:v>
      </x:c>
      <x:c r="AC2" t="str">
        <x:v>02_Papers/05_Sim2Real/Sim2Real-VLA.md</x:v>
      </x:c>
      <x:c r="AD2" t="str">
        <x:v>Robotics Core / Important Papers</x:v>
      </x:c>
      <x:c r="AE2" t="str">
        <x:v>ICLR Downloads/Proceedings; accepted OpenReview PDF; official project page; official EmbodiChain repository; author publication list; current official CCF directory</x:v>
      </x:c>
      <x:c r="AF2" t="str">
        <x:v>Abstract-level / </x:v>
      </x:c>
      <x:c r="AG2" t="str">
        <x:v>Official project reports six robot manipulation tasks spanning single-arm, dual-arm, hand-over and pan-opening/placement settings, plus domain-gap conditions; exact full-paper benchmark table not re-extracted.</x:v>
      </x:c>
      <x:c r="AH2" t="str">
        <x:v>Directly relevant to VLA, synthetic data, generali</x:v>
      </x:c>
      <x:c r="AI2" t="str">
        <x:v>CCF 7th edition current official directory checked 2026-09-21; no authoritative ICLR A row located in accessible current listing</x:v>
      </x:c>
      <x:c r="AJ2" t="str">
        <x:v>VLA</x:v>
      </x:c>
      <x:c r="AK2" t="str">
        <x:v>—</x:v>
      </x:c>
      <x:c r="AL2" t="str">
        <x:v>未可靠匹配</x:v>
      </x:c>
      <x:c r="AM2" t="str">
        <x:v>2026-09-25</x:v>
      </x:c>
      <x:c r="AN2" t="str">
        <x:v>纯合成数据训练的 VLA 在真实场景中容易受到外观和动力学差异影响。</x:v>
      </x:c>
      <x:c r="AO2" t="str">
        <x:v>Unknown / Needs Full-Paper Verification</x:v>
      </x:c>
      <x:c r="AP2" t="str">
        <x:v>Reconstruct ga</x:v>
      </x:c>
      <x:c r="AQ2" t="str">
        <x:v>合成操作轨迹与真实机器人评测；具体任务见项目页。</x:v>
      </x:c>
      <x:c r="AR2" t="str">
        <x:v>Unknown / Needs Full-Paper Verification</x:v>
      </x:c>
      <x:c r="AS2" t="str">
        <x:v>- A reconstructive VLA trained exclusively on synthetic data for</x:v>
      </x:c>
      <x:c r="AT2" t="str">
        <x:v>The official project reports six robot manipulation tasks spanning single-arm, dual-arm, hand-over, pouring, basket pick-and-place and pan opening/placement settings, with domain-gap conditions.</x:v>
      </x:c>
      <x:c r="AU2" t="str">
        <x:v>作者项目页报告多种真实操作任务的零样本迁移；完整数值和硬件条件仍需正文核验。</x:v>
      </x:c>
      <x:c r="AV2" t="str">
        <x:v>Unknown / Needs Full-Paper Verification</x:v>
      </x:c>
      <x:c r="AW2" t="str">
        <x:v>Library Analysis / Research Note: Unknown / Needs Full-Paper Verification</x:v>
      </x:c>
      <x:c r="AX2" t="str">
        <x:v>B</x:v>
      </x:c>
      <x:c r="AY2" t="str">
        <x:v>Idea Clue 1: use affordance-conditioned dual-arm skill transfer as a controlled baseline for real gripper experiments. Evidence: official six-task and domain-gap evaluation. Why relevant: directly matches bimanual + sim2real direction.</x:v>
      </x:c>
      <x:c r="AZ2" t="str">
        <x:v>Not Reported in the sources rechecked for this batch.</x:v>
      </x:c>
      <x:c r="BA2" t="str">
        <x:v>Domain-gap evaluation explicitly tests background, object, table and combined shifts; exact failure cases require full-paper appendix extraction.</x:v>
      </x:c>
      <x:c r="BB2" t="str">
        <x:v>—</x:v>
      </x:c>
      <x:c r="BC2" t="str">
        <x:v>Official ICLR Downloads/Proceedings; accepted OpenReview PDF; official project page; official EmbodiChain repository; author publication list; current official CCF directory</x:v>
      </x:c>
      <x:c r="BD2" t="str">
        <x:v>B-Experiment-Not-Extracted</x:v>
      </x:c>
      <x:c r="BE2" t="str">
        <x:v>Not Found</x:v>
      </x:c>
      <x:c r="BF2" t="str">
        <x:v>Partial</x:v>
      </x:c>
      <x:c r="BG2" t="str">
        <x:v>Multiple real-world setups are shown; exact hardware inventory not extracted at abstract/project level</x:v>
      </x:c>
      <x:c r="BH2" t="str">
        <x:v>https://edem-ai.github.io/sim2realvla.github.io/static/paper/Sim2Real_VLA1_2025.pdf</x:v>
      </x:c>
      <x:c r="BI2" t="str">
        <x:v>No</x:v>
      </x:c>
      <x:c r="BJ2" t="str">
        <x:v>No</x:v>
      </x:c>
      <x:c r="BK2" t="str">
        <x:v>No</x:v>
      </x:c>
      <x:c r="BL2" t="str">
        <x:v>No</x:v>
      </x:c>
      <x:c r="BM2" t="str">
        <x:v>No</x:v>
      </x:c>
      <x:c r="BN2" t="str">
        <x:v>No</x:v>
      </x:c>
      <x:c r="BO2" t="str">
        <x:v>No</x:v>
      </x:c>
      <x:c r="BP2" t="str">
        <x:v>Unresolved</x:v>
      </x:c>
      <x:c r="BQ2" t="str">
        <x:v>Not Found After Verification</x:v>
      </x:c>
      <x:c r="BR2" t="str">
        <x:v>Not Found After Verification</x:v>
      </x:c>
      <x:c r="BS2" t="str">
        <x:v>Audit logged - deep extraction pending</x:v>
      </x:c>
      <x:c r="BT2" t="str">
        <x:v>false</x:v>
      </x:c>
      <x:c r="BU2"/>
      <x:c r="BV2" t="str">
        <x:v>研究问题：纯合成数据训练的 VLA 在真实场景中容易受到外观和动力学差异影响。；之前方法的问题：仿真里学到的操作技能并不自动具备真机零样本泛化。；核心思路：Sim2Real-VLA 只用合成数据训练通用控制模型，并研究仿真技能迁移到真实操作。；输入：官方摘要给出任务/数据类型；具体模型张量与接口需核对方法章节。；输出与动作：官方摘要未明确列出完整控制接口；需核对论文方法或代码。；数据集与评测基准：合成操作轨迹与真实机器人评测；具体任务见项目页。；主要结果：作者项目页报告多种真实操作任务的零样本迁移；完整数值和硬件条件仍需正文核验。；为什么重要：直接对应双臂 Sim2Real 与合成/真实数据配比问题。；与当前项目的关系：High：直接关联双臂普通夹爪、VLA 或真机操作。；主要局限：本段基于官方摘要；未覆盖全文失败案例、完整 Baseline 与方法消融。</x:v>
      </x:c>
      <x:c r="BW2" t="str">
        <x:v>仿真里学到的操作技能并不自动具备真机零样本泛化。</x:v>
      </x:c>
      <x:c r="BX2" t="str">
        <x:v>Sim2Real-VLA 只用合成数据训练通用控制模型，并研究仿真技能迁移到真实操作。</x:v>
      </x:c>
      <x:c r="BY2" t="str">
        <x:v>Official project comparison reports success rate and step count across six tasks; exact baseline names and full table values require full-paper table extraction.</x:v>
      </x:c>
      <x:c r="BZ2" t="str">
        <x:v>作者项目页报告多种真实操作任务的零样本迁移；完整数值和硬件条件仍需正文核验。</x:v>
      </x:c>
      <x:c r="CA2" t="str">
        <x:v>直接对应双臂 Sim2Real 与合成/真实数据配比问题。</x:v>
      </x:c>
      <x:c r="CB2" t="str">
        <x:v>本段基于官方摘要；未覆盖全文失败案例、完整 Baseline 与方法消融。</x:v>
      </x:c>
      <x:c r="CC2" t="str">
        <x:v>Library Analysis: robustness under broader embodiment, contact dynamics and unseen long-horizon compositions remains open.</x:v>
      </x:c>
      <x:c r="CD2" t="str">
        <x:v>High：直接关联双臂普通夹爪、VLA 或真机操作。</x:v>
      </x:c>
      <x:c r="CE2" t="str">
        <x:v>官方摘要/论文页：https://edem-ai.github.io/sim2realvla.github.io/；核验于 2026-09-23。仅为摘要级速读，原 Evidence Quality 不变。 - 核验层级：摘要有可追溯来源</x:v>
      </x:c>
      <x:c r="CF2" t="str">
        <x:v>Unresolved; no reliable citation service count</x:v>
      </x:c>
      <x:c r="CG2" t="n">
        <x:v>0</x:v>
      </x:c>
      <x:c r="CH2" t="n">
        <x:v>0</x:v>
      </x:c>
    </x:row>
    <x:row r="3" ht="62" customHeight="1">
      <x:c r="A3" t="str">
        <x:v>R002</x:v>
      </x:c>
      <x:c r="B3" t="str">
        <x:v>You Only Teach Once: Learn One-Shot Bimanual Robotic Manipulation from Video Demonstrations</x:v>
      </x:c>
      <x:c r="C3" t="str">
        <x:v>Huayi Zhou; Ruixiang Wang; Yunxin Tai; Yueci Deng; Guiliang Liu; Kui Jia</x:v>
      </x:c>
      <x:c r="D3" t="n">
        <x:v>2025</x:v>
      </x:c>
      <x:c r="E3" t="str">
        <x:v>RSS</x:v>
      </x:c>
      <x:c r="F3" t="str">
        <x:v>Robotics Core Venue</x:v>
      </x:c>
      <x:c r="G3" t="str">
        <x:v>Full Conference Paper</x:v>
      </x:c>
      <x:c r="H3" t="str">
        <x:v>Unknown</x:v>
      </x:c>
      <x:c r="I3" t="str">
        <x:v>Bimanual Manipulation / Imitation Learning</x:v>
      </x:c>
      <x:c r="J3" t="str">
        <x:v>Video demonstration / bimanual diffusion policy</x:v>
      </x:c>
      <x:c r="K3" t="str">
        <x:v>Bimanual; Human Video; Imitation Learning; Diffusion Policy; Generalization; Long-horizon</x:v>
      </x:c>
      <x:c r="L3" t="str">
        <x:v>Learning coordinated bimanual skills with low demonstration cost.</x:v>
      </x:c>
      <x:c r="M3" t="str">
        <x:v>Extracts bimanual action patterns from a binocular human video and generates varied demonstrations for a bimanual diffusion policy.</x:v>
      </x:c>
      <x:c r="N3" t="str">
        <x:v>One-shot human video becomes structured keyframe trajectories and scalable robot demonstrations.</x:v>
      </x:c>
      <x:c r="O3" t="e">
        <x:f>HYPERLINK("https://www.roboticsproceedings.org/rss21/p149.html","论文")</x:f>
        <x:v>HYPERLINK is not implemented. linkLocation=https://www.roboticsproceedings.org/rss21/p149.html, friendlyName=论文</x:v>
      </x:c>
      <x:c r="P3" t="e">
        <x:f>HYPERLINK("https://hnuzhy.github.io/projects/YOTO","Project")</x:f>
        <x:v>HYPERLINK is not implemented. linkLocation=https://hnuzhy.github.io/projects/YOTO, friendlyName=Project</x:v>
      </x:c>
      <x:c r="Q3" t="str">
        <x:v>Unknown</x:v>
      </x:c>
      <x:c r="R3" t="str">
        <x:v>Unknown</x:v>
      </x:c>
      <x:c r="S3" t="str">
        <x:v>Unknown</x:v>
      </x:c>
      <x:c r="T3" t="str">
        <x:v>Generated demonstrations; release status Unknown</x:v>
      </x:c>
      <x:c r="U3" t="str">
        <x:v>Dual robot arms; exact platform pending full-paper check</x:v>
      </x:c>
      <x:c r="V3" t="str">
        <x:v>Bimanual / Gripper</x:v>
      </x:c>
      <x:c r="W3" t="str">
        <x:v>Yes</x:v>
      </x:c>
      <x:c r="X3" t="str">
        <x:v>P0</x:v>
      </x:c>
      <x:c r="Y3" t="str">
        <x:v>No</x:v>
      </x:c>
      <x:c r="Z3" t="str">
        <x:v>RSS official proceedings verified</x:v>
      </x:c>
      <x:c r="AA3" t="str">
        <x:v>2026-09-19</x:v>
      </x:c>
      <x:c r="AB3" t="str">
        <x:v>Five long-horizon tasks are reported in the official abstract.</x:v>
      </x:c>
      <x:c r="AC3" t="str">
        <x:v>02_Papers/03_Bimanual/YOTO.md</x:v>
      </x:c>
      <x:c r="AD3" t="str">
        <x:v>Robotics Core</x:v>
      </x:c>
      <x:c r="AE3" t="str">
        <x:v>RSS official proceedings abstract</x:v>
      </x:c>
      <x:c r="AF3" t="str">
        <x:v>Abstract-level</x:v>
      </x:c>
      <x:c r="AG3" t="str">
        <x:v>Official abstract reports five long-horizon bimanual tasks.</x:v>
      </x:c>
      <x:c r="AH3" t="str">
        <x:v>** Direct match to bimanual manipulation, human demonstration and diffusion-policy training.</x:v>
      </x:c>
      <x:c r="AI3" t="str">
        <x:v>CCF seventh edition: exact official row pending unless separately evidenced</x:v>
      </x:c>
      <x:c r="AJ3" t="str">
        <x:v>Bimanual</x:v>
      </x:c>
      <x:c r="AK3" t="n">
        <x:v>7</x:v>
      </x:c>
      <x:c r="AL3" t="str">
        <x:v>OpenAlex</x:v>
      </x:c>
      <x:c r="AM3" t="str">
        <x:v>2026-09-25</x:v>
      </x:c>
      <x:c r="AN3" t="str">
        <x:v>低成本示范条件下，如何学会协调的双臂技能。</x:v>
      </x:c>
      <x:c r="AO3" t="str">
        <x:v>Unknown / Needs Full-Paper Verification</x:v>
      </x:c>
      <x:c r="AP3" t="str">
        <x:v>One-shot human video becomes structured keyframe trajectories and scalable robot demonstrations.</x:v>
      </x:c>
      <x:c r="AQ3" t="str">
        <x:v>论文评估五项复杂的长时序双臂任务。</x:v>
      </x:c>
      <x:c r="AR3" t="str">
        <x:v>Unknown / Needs Full-Paper Verification</x:v>
      </x:c>
      <x:c r="AS3" t="str">
        <x:v>- Extracts bimanual action patterns from a binocular human video and generates varied demonstrations for a bimanual diffusion policy.</x:v>
      </x:c>
      <x:c r="AT3" t="str">
        <x:v>Official abstract reports five long-hori</x:v>
      </x:c>
      <x:c r="AU3" t="str">
        <x:v>作者报告可模仿五项双臂任务，并对视觉和空间变化有一定泛化；具体数值需看原文。</x:v>
      </x:c>
      <x:c r="AV3" t="str">
        <x:v>Unknown / Needs Full-Paper Verification</x:v>
      </x:c>
      <x:c r="AW3" t="str">
        <x:v>Library Analysis / Research Note: Unknown / Needs Full-Paper Verification</x:v>
      </x:c>
      <x:c r="AX3" t="str">
        <x:v>B</x:v>
      </x:c>
      <x:c r="AY3" t="str"/>
      <x:c r="AZ3" t="str">
        <x:v>Unknown / Not Explicitly Reported in the currently accessible sources.</x:v>
      </x:c>
      <x:c r="BA3" t="str">
        <x:v>Unknown / Not Explicitly Reported in the currently accessible sources.</x:v>
      </x:c>
      <x:c r="BB3" t="str">
        <x:v>https://openalex.org/W4414050937</x:v>
      </x:c>
      <x:c r="BC3" t="str">
        <x:v>https://www.roboticsproceedings.org/rss21/p149.html; https://hnu</x:v>
      </x:c>
      <x:c r="BD3" t="str">
        <x:v>B-Code-Unverified</x:v>
      </x:c>
      <x:c r="BE3" t="str">
        <x:v>Not Found</x:v>
      </x:c>
      <x:c r="BF3" t="str">
        <x:v>Unavailable</x:v>
      </x:c>
      <x:c r="BG3" t="str">
        <x:v>Dual robot arms; exact platform pending full-paper check</x:v>
      </x:c>
      <x:c r="BH3" t="str">
        <x:v>https://www.roboticsproceedings.org/rss21/p149.pdf</x:v>
      </x:c>
      <x:c r="BI3" t="str">
        <x:v>No</x:v>
      </x:c>
      <x:c r="BJ3" t="str">
        <x:v>No</x:v>
      </x:c>
      <x:c r="BK3" t="str">
        <x:v>No</x:v>
      </x:c>
      <x:c r="BL3" t="str">
        <x:v>No</x:v>
      </x:c>
      <x:c r="BM3" t="str">
        <x:v>No</x:v>
      </x:c>
      <x:c r="BN3" t="str">
        <x:v>No</x:v>
      </x:c>
      <x:c r="BO3" t="str">
        <x:v>No</x:v>
      </x:c>
      <x:c r="BP3" t="str">
        <x:v>Matched</x:v>
      </x:c>
      <x:c r="BQ3" t="str">
        <x:v>Not Found After Verification</x:v>
      </x:c>
      <x:c r="BR3" t="str">
        <x:v>Not Found After Verification</x:v>
      </x:c>
      <x:c r="BS3" t="str">
        <x:v>Audit logged - deep extraction pending</x:v>
      </x:c>
      <x:c r="BT3" t="str">
        <x:v>false</x:v>
      </x:c>
      <x:c r="BU3"/>
      <x:c r="BV3" t="str">
        <x:v>研究问题：低成本示范条件下，如何学会协调的双臂技能。；之前方法的问题：一段人类视频不能直接提供机器人两臂的连续可执行动作。；核心思路：把单段人类视频转换为结构化关键帧轨迹，并扩展成机器人示范。；数据集与评测基准：论文评估五项复杂的长时序双臂任务。；主要结果：作者报告可模仿五项双臂任务，并对视觉和空间变化有一定泛化；具体数值需看原文。；为什么重要：可帮助研究 Human Video → Robot Action 的数据成本。；与当前项目的关系：High：与双臂普通夹爪和低示范预算直接相关。；主要局限：人类视频关键帧到真机连续控制仍需验证可达性与接触安全。</x:v>
      </x:c>
      <x:c r="BW3" t="str">
        <x:v>一段人类视频不能直接提供机器人两臂的连续可执行动作。</x:v>
      </x:c>
      <x:c r="BX3" t="str">
        <x:v>把单段人类视频转换为结构化关键帧轨迹，并扩展成机器人示范。</x:v>
      </x:c>
      <x:c r="BY3" t="str"/>
      <x:c r="BZ3" t="str">
        <x:v>作者报告可模仿五项双臂任务，并对视觉和空间变化有一定泛化；具体数值需看原文。</x:v>
      </x:c>
      <x:c r="CA3" t="str">
        <x:v>可帮助研究 Human Video → Robot Action 的数据成本。</x:v>
      </x:c>
      <x:c r="CB3" t="str">
        <x:v>人类视频关键帧到真机连续控制仍需验证可达性与接触安全。</x:v>
      </x:c>
      <x:c r="CC3" t="str"/>
      <x:c r="CD3" t="str">
        <x:v>High：与双臂普通夹爪和低示范预算直接相关。</x:v>
      </x:c>
      <x:c r="CE3" t="str">
        <x:v>官方摘要/论文页; https://www.roboticsproceedings.org/rss21/p149.html; 核验于 2026-09-23. 仅为摘要级速读；原 Evidence Quality 不变。 - 核验层级：摘要有可追溯来源</x:v>
      </x:c>
      <x:c r="CF3" t="str">
        <x:v>title</x:v>
      </x:c>
      <x:c r="CG3" t="n">
        <x:v>0</x:v>
      </x:c>
      <x:c r="CH3" t="n">
        <x:v>1</x:v>
      </x:c>
    </x:row>
    <x:row r="4" ht="62" customHeight="1">
      <x:c r="A4" t="str">
        <x:v>R003</x:v>
      </x:c>
      <x:c r="B4" t="str">
        <x:v>Gripper Pose and Object Pointflow as Interfaces for Robotic Bimanual Manipulation</x:v>
      </x:c>
      <x:c r="C4" t="str">
        <x:v>Yuyin Yang; Zetao Cai; Yang Tian; Jia Zeng; Jiangmiao Pang</x:v>
      </x:c>
      <x:c r="D4" t="n">
        <x:v>2025</x:v>
      </x:c>
      <x:c r="E4" t="str">
        <x:v>RSS</x:v>
      </x:c>
      <x:c r="F4" t="str">
        <x:v>Robotics Core Venue</x:v>
      </x:c>
      <x:c r="G4" t="str">
        <x:v>Full Conference Paper</x:v>
      </x:c>
      <x:c r="H4" t="str">
        <x:v>Unknown</x:v>
      </x:c>
      <x:c r="I4" t="str">
        <x:v>Bimanual Manipulation / 3D Spatial Reasoning</x:v>
      </x:c>
      <x:c r="J4" t="str">
        <x:v>Gripper keypose and object pointflow interfaces</x:v>
      </x:c>
      <x:c r="K4" t="str">
        <x:v>Bimanual; Gripper; Robot Manipulation; Generalization; Real Robot</x:v>
      </x:c>
      <x:c r="L4" t="str">
        <x:v>Bimanual policies must combine spatial localization with flexible continuous trajectories.</x:v>
      </x:c>
      <x:c r="M4" t="str">
        <x:v>PPI combines target gripper-pose and object-pointflow interfaces with continuous action prediction.</x:v>
      </x:c>
      <x:c r="N4" t="str">
        <x:v>Use spatial interfaces to guide continuous bimanual actions.</x:v>
      </x:c>
      <x:c r="O4" t="e">
        <x:f>HYPERLINK("https://www.roboticsproceedings.org/rss21/p160.html","论文")</x:f>
        <x:v>HYPERLINK is not implemented. linkLocation=https://www.roboticsproceedings.org/rss21/p160.html, friendlyName=论文</x:v>
      </x:c>
      <x:c r="P4" t="e">
        <x:f>HYPERLINK("https://yuyinyang3y.github.io/PPI/","Project")</x:f>
        <x:v>HYPERLINK is not implemented. linkLocation=https://yuyinyang3y.github.io/PPI/, friendlyName=Project</x:v>
      </x:c>
      <x:c r="Q4" t="str">
        <x:v>Unknown</x:v>
      </x:c>
      <x:c r="R4" t="str">
        <x:v>Unknown</x:v>
      </x:c>
      <x:c r="S4" t="str">
        <x:v>Unknown</x:v>
      </x:c>
      <x:c r="T4" t="str">
        <x:v>RLBench2 and real-world tasks; release status Unknown</x:v>
      </x:c>
      <x:c r="U4" t="str">
        <x:v>Bimanual gripper system; exact model pending full-paper check</x:v>
      </x:c>
      <x:c r="V4" t="str">
        <x:v>Bimanual / Parallel Gripper</x:v>
      </x:c>
      <x:c r="W4" t="str">
        <x:v>Yes</x:v>
      </x:c>
      <x:c r="X4" t="str">
        <x:v>P0</x:v>
      </x:c>
      <x:c r="Y4" t="str">
        <x:v>No</x:v>
      </x:c>
      <x:c r="Z4" t="str">
        <x:v>RSS official proceedings verified</x:v>
      </x:c>
      <x:c r="AA4" t="str">
        <x:v>2026-09-19</x:v>
      </x:c>
      <x:c r="AB4" t="str">
        <x:v>Official paper page confirms simulated and real-world experiments.</x:v>
      </x:c>
      <x:c r="AC4" t="str">
        <x:v>02_Papers/03_Bimanual/PPI_Bimanual.md</x:v>
      </x:c>
      <x:c r="AD4" t="str">
        <x:v>Robotics Core</x:v>
      </x:c>
      <x:c r="AE4" t="str">
        <x:v>RSS official proceedings abstract</x:v>
      </x:c>
      <x:c r="AF4" t="str">
        <x:v>Abstract-level</x:v>
      </x:c>
      <x:c r="AG4" t="str">
        <x:v>RLBench2 plus four real-world tasks reported by official abstract.</x:v>
      </x:c>
      <x:c r="AH4" t="str">
        <x:v>** Very close to NERO dual-arm and ordinary-gripper manipulation.</x:v>
      </x:c>
      <x:c r="AI4" t="str">
        <x:v>CCF seventh edition: exact official row pending unless separately evidenced</x:v>
      </x:c>
      <x:c r="AJ4" t="str">
        <x:v>Bimanual</x:v>
      </x:c>
      <x:c r="AK4" t="n">
        <x:v>1</x:v>
      </x:c>
      <x:c r="AL4" t="str">
        <x:v>OpenAlex</x:v>
      </x:c>
      <x:c r="AM4" t="str">
        <x:v>2026-09-25</x:v>
      </x:c>
      <x:c r="AN4" t="str">
        <x:v>双臂策略要兼顾目标的空间定位和连续轨迹的灵活性。</x:v>
      </x:c>
      <x:c r="AO4" t="str">
        <x:v>Unknown / Needs Full-Paper Verification</x:v>
      </x:c>
      <x:c r="AP4" t="str">
        <x:v>Use spatial interfaces to guide continuous bimanual actions.</x:v>
      </x:c>
      <x:c r="AQ4" t="str">
        <x:v>仿真与真机双臂任务；完整 benchmark 见论文。</x:v>
      </x:c>
      <x:c r="AR4" t="str">
        <x:v>Unknown / Needs Full-Paper Verification</x:v>
      </x:c>
      <x:c r="AS4" t="str">
        <x:v>- PPI combines target gripper-pose and object-pointflow interfaces with continuous action prediction.</x:v>
      </x:c>
      <x:c r="AT4" t="str">
        <x:v>RLBench2 plus four real-world tasks reported by official abstract.</x:v>
      </x:c>
      <x:c r="AU4" t="str">
        <x:v>Unknown / Needs Full-Paper Verification</x:v>
      </x:c>
      <x:c r="AV4" t="str">
        <x:v>Unknown / Needs Full-Paper Verification</x:v>
      </x:c>
      <x:c r="AW4" t="str">
        <x:v>Library Analysis / Research Note: Unknown / Needs Full-Paper Verification</x:v>
      </x:c>
      <x:c r="AX4" t="str">
        <x:v>B</x:v>
      </x:c>
      <x:c r="AY4" t="str"/>
      <x:c r="AZ4" t="str">
        <x:v>Unknown / Not Explicitly Reported in the currently accessible sources.</x:v>
      </x:c>
      <x:c r="BA4" t="str">
        <x:v>Unknown / Not Explicitly Reported in the currently accessible sources.</x:v>
      </x:c>
      <x:c r="BB4" t="str">
        <x:v>https://openalex.org/W4414050727</x:v>
      </x:c>
      <x:c r="BC4" t="str">
        <x:v>RSS official proceedings abstract</x:v>
      </x:c>
      <x:c r="BD4" t="str">
        <x:v>B-Code-Unverified</x:v>
      </x:c>
      <x:c r="BE4" t="str">
        <x:v>Not Found</x:v>
      </x:c>
      <x:c r="BF4" t="str">
        <x:v>Unavailable</x:v>
      </x:c>
      <x:c r="BG4" t="str">
        <x:v>Bimanual gripper system; exact model pending full-paper check</x:v>
      </x:c>
      <x:c r="BH4" t="str">
        <x:v>https://www.roboticsproceedings.org/rss21/p160.pdf</x:v>
      </x:c>
      <x:c r="BI4" t="str">
        <x:v>No</x:v>
      </x:c>
      <x:c r="BJ4" t="str">
        <x:v>No</x:v>
      </x:c>
      <x:c r="BK4" t="str">
        <x:v>No</x:v>
      </x:c>
      <x:c r="BL4" t="str">
        <x:v>No</x:v>
      </x:c>
      <x:c r="BM4" t="str">
        <x:v>No</x:v>
      </x:c>
      <x:c r="BN4" t="str">
        <x:v>No</x:v>
      </x:c>
      <x:c r="BO4" t="str">
        <x:v>No</x:v>
      </x:c>
      <x:c r="BP4" t="str">
        <x:v>Matched</x:v>
      </x:c>
      <x:c r="BQ4" t="str">
        <x:v>Not Found After Verification</x:v>
      </x:c>
      <x:c r="BR4" t="str">
        <x:v>Not Found After Verification</x:v>
      </x:c>
      <x:c r="BS4" t="str">
        <x:v>Audit logged - deep extraction pending</x:v>
      </x:c>
      <x:c r="BT4" t="str">
        <x:v>false</x:v>
      </x:c>
      <x:c r="BU4"/>
      <x:c r="BV4" t="str">
        <x:v>研究问题：双臂策略要兼顾目标的空间定位和连续轨迹的灵活性。；之前方法的问题：单独使用离散空间提示或连续动作预测，可能难同时实现定位与平滑控制。；核心思路：PPI 用空间接口引导连续双臂动作生成。；数据集与评测基准：仿真与真机双臂任务；完整 benchmark 见论文。；为什么重要：适合比较空间表示如何约束普通夹爪的双臂动作。；与当前项目的关系：High：直接对应双臂空间接口和连续动作。；主要局限：需进一步核验任务分布、失败类型和动作频率。</x:v>
      </x:c>
      <x:c r="BW4" t="str">
        <x:v>单独使用离散空间提示或连续动作预测，可能难同时实现定位与平滑控制。</x:v>
      </x:c>
      <x:c r="BX4" t="str">
        <x:v>PPI 用空间接口引导连续双臂动作生成。</x:v>
      </x:c>
      <x:c r="BY4" t="str"/>
      <x:c r="BZ4" t="str">
        <x:v>论文报告相对先前方法在仿真和真机上提升，卡片记录平均提升 16.1%；指标定义需回原文核对。</x:v>
      </x:c>
      <x:c r="CA4" t="str">
        <x:v>适合比较空间表示如何约束普通夹爪的双臂动作。</x:v>
      </x:c>
      <x:c r="CB4" t="str">
        <x:v>需进一步核验任务分布、失败类型和动作频率。</x:v>
      </x:c>
      <x:c r="CC4" t="str"/>
      <x:c r="CD4" t="str">
        <x:v>High：直接对应双臂空间接口和连续动作。</x:v>
      </x:c>
      <x:c r="CE4" t="str">
        <x:v>官方摘要/论文页; https://www.roboticsproceedings.org/rss21/p160.html; 核验于 2026-09-23. 仅为摘要级速读；原 Evidence Quality 不变。 - 核验层级：摘要有可追溯来源</x:v>
      </x:c>
      <x:c r="CF4" t="str">
        <x:v>title</x:v>
      </x:c>
      <x:c r="CG4" t="n">
        <x:v>0</x:v>
      </x:c>
      <x:c r="CH4" t="n">
        <x:v>0</x:v>
      </x:c>
    </x:row>
    <x:row r="5" ht="62" customHeight="1">
      <x:c r="A5" t="str">
        <x:v>R004</x:v>
      </x:c>
      <x:c r="B5" t="str">
        <x:v>DexCap: Scalable and Portable Mocap Data Collection System for Dexterous Manipulation</x:v>
      </x:c>
      <x:c r="C5" t="str">
        <x:v>Chen Wang; Haochen Shi; Weizhuo Wang; Ruohan Zhang; Li Fei-Fei; Karen Liu</x:v>
      </x:c>
      <x:c r="D5" t="n">
        <x:v>2024</x:v>
      </x:c>
      <x:c r="E5" t="str">
        <x:v>RSS</x:v>
      </x:c>
      <x:c r="F5" t="str">
        <x:v>Robotics Core Venue</x:v>
      </x:c>
      <x:c r="G5" t="str">
        <x:v>Full Conference Paper</x:v>
      </x:c>
      <x:c r="H5" t="str">
        <x:v>Unknown</x:v>
      </x:c>
      <x:c r="I5" t="str">
        <x:v>Dexterous Manipulation / Teleoperation</x:v>
      </x:c>
      <x:c r="J5" t="str">
        <x:v>Portable hand motion capture and imitation learning</x:v>
      </x:c>
      <x:c r="K5" t="str">
        <x:v>Dexterous; Human Demonstration; Teleoperation; Imitation Learning</x:v>
      </x:c>
      <x:c r="L5" t="str">
        <x:v>Collecting detailed, portable human-hand demonstrations for dexterous robot learning.</x:v>
      </x:c>
      <x:c r="M5" t="str">
        <x:v>A wearable mocap system and a retargeting/imitation pipeline for dexterous policies.</x:v>
      </x:c>
      <x:c r="N5" t="str">
        <x:v>Capture wrist and finger motion with environment-grounded 3D observations.</x:v>
      </x:c>
      <x:c r="O5" t="e">
        <x:f>HYPERLINK("https://roboticsproceedings.org/rss20/p043.html","论文")</x:f>
        <x:v>HYPERLINK is not implemented. linkLocation=https://roboticsproceedings.org/rss20/p043.html, friendlyName=论文</x:v>
      </x:c>
      <x:c r="P5" t="str">
        <x:v>Unknown</x:v>
      </x:c>
      <x:c r="Q5" t="str">
        <x:v>Unknown</x:v>
      </x:c>
      <x:c r="R5" t="str">
        <x:v>Unknown</x:v>
      </x:c>
      <x:c r="S5" t="str">
        <x:v>Unknown</x:v>
      </x:c>
      <x:c r="T5" t="str">
        <x:v>Human hand mocap data; release status Unknown</x:v>
      </x:c>
      <x:c r="U5" t="str">
        <x:v>Dexterous robotic hand</x:v>
      </x:c>
      <x:c r="V5" t="str">
        <x:v>Dexterous Hand</x:v>
      </x:c>
      <x:c r="W5" t="str">
        <x:v>Yes</x:v>
      </x:c>
      <x:c r="X5" t="str">
        <x:v>P1</x:v>
      </x:c>
      <x:c r="Y5" t="str">
        <x:v>No</x:v>
      </x:c>
      <x:c r="Z5" t="str">
        <x:v>RSS official proceedings PDF and volume listing verified</x:v>
      </x:c>
      <x:c r="AA5" t="str">
        <x:v>2026-09-19</x:v>
      </x:c>
      <x:c r="AB5" t="str">
        <x:v>Follow-up expansion topic; not the current ordinary-gripper main line.</x:v>
      </x:c>
      <x:c r="AC5" t="str">
        <x:v>02_Papers/08_Data_Teleoperation/DexCap.md</x:v>
      </x:c>
      <x:c r="AD5" t="str">
        <x:v>Robotics Core</x:v>
      </x:c>
      <x:c r="AE5" t="str">
        <x:v>RSS official proceedings</x:v>
      </x:c>
      <x:c r="AF5" t="str">
        <x:v>Abstract-level</x:v>
      </x:c>
      <x:c r="AG5" t="str">
        <x:v>Official paper describes robot-policy learning from collected mocap.</x:v>
      </x:c>
      <x:c r="AH5" t="str">
        <x:v>** Useful for teleoperation/data-collection design; hardware differs from the current gripper setup.</x:v>
      </x:c>
      <x:c r="AI5" t="str">
        <x:v>CCF seventh edition: exact official row pending unless separately evidenced</x:v>
      </x:c>
      <x:c r="AJ5" t="str">
        <x:v>Data / Teleoperation</x:v>
      </x:c>
      <x:c r="AK5" t="n">
        <x:v>329</x:v>
      </x:c>
      <x:c r="AL5" t="str">
        <x:v>Semantic Scholar</x:v>
      </x:c>
      <x:c r="AM5" t="str">
        <x:v>2026-09-25</x:v>
      </x:c>
      <x:c r="AN5" t="str">
        <x:v>灵巧机器人学习缺少可携带、细节完整的人手示范。</x:v>
      </x:c>
      <x:c r="AO5" t="str">
        <x:v>Unknown / Needs Full-Paper Verification</x:v>
      </x:c>
      <x:c r="AP5" t="str">
        <x:v>Capture wrist and finger motion with environment-grounded 3D observations.</x:v>
      </x:c>
      <x:c r="AQ5" t="str">
        <x:v>已核验摘要未明确说明；需查阅论文方法与实验章节。</x:v>
      </x:c>
      <x:c r="AR5" t="str">
        <x:v>Unknown / Needs Full-Paper Verification</x:v>
      </x:c>
      <x:c r="AS5" t="str">
        <x:v>- A wearable mocap system and a retargeting/imitation pipeline for dexterous policies.</x:v>
      </x:c>
      <x:c r="AT5" t="str">
        <x:v>Official paper describes robot-policy learning from collected mocap.</x:v>
      </x:c>
      <x:c r="AU5" t="str">
        <x:v>Unknown / Needs Full-Paper Verification</x:v>
      </x:c>
      <x:c r="AV5" t="str">
        <x:v>Unknown / Needs Full-Paper Verification</x:v>
      </x:c>
      <x:c r="AW5" t="str">
        <x:v>Library Analysis / Research Note: Unknown / Needs Full-Paper Verification</x:v>
      </x:c>
      <x:c r="AX5" t="str">
        <x:v>B</x:v>
      </x:c>
      <x:c r="AY5" t="str"/>
      <x:c r="AZ5" t="str">
        <x:v>Unknown / Not Explicitly Reported in the currently accessible sources.</x:v>
      </x:c>
      <x:c r="BA5" t="str">
        <x:v>Unknown / Not Explicitly Reported in the currently accessible sources.</x:v>
      </x:c>
      <x:c r="BB5" t="str">
        <x:v>https://www.semanticscholar.org/paper/84a351dcc0323aed7fac5755303eb5614fac5f46</x:v>
      </x:c>
      <x:c r="BC5" t="str">
        <x:v>RSS official proceedings</x:v>
      </x:c>
      <x:c r="BD5" t="str">
        <x:v>B-Code-Unverified</x:v>
      </x:c>
      <x:c r="BE5" t="str">
        <x:v>Not Found</x:v>
      </x:c>
      <x:c r="BF5" t="str">
        <x:v>Unavailable</x:v>
      </x:c>
      <x:c r="BG5" t="str">
        <x:v>Dexterous robotic hand</x:v>
      </x:c>
      <x:c r="BH5" t="str">
        <x:v>https://roboticsproceedings.org/rss20/p043.pdf</x:v>
      </x:c>
      <x:c r="BI5" t="str">
        <x:v>No</x:v>
      </x:c>
      <x:c r="BJ5" t="str">
        <x:v>No</x:v>
      </x:c>
      <x:c r="BK5" t="str">
        <x:v>No</x:v>
      </x:c>
      <x:c r="BL5" t="str">
        <x:v>No</x:v>
      </x:c>
      <x:c r="BM5" t="str">
        <x:v>No</x:v>
      </x:c>
      <x:c r="BN5" t="str">
        <x:v>No</x:v>
      </x:c>
      <x:c r="BO5" t="str">
        <x:v>No</x:v>
      </x:c>
      <x:c r="BP5" t="str">
        <x:v>Matched</x:v>
      </x:c>
      <x:c r="BQ5" t="str">
        <x:v>Not Found After Verification</x:v>
      </x:c>
      <x:c r="BR5" t="str">
        <x:v>Not Found After Verification</x:v>
      </x:c>
      <x:c r="BS5" t="str">
        <x:v>Audit logged - deep extraction pending</x:v>
      </x:c>
      <x:c r="BT5" t="str">
        <x:v>false</x:v>
      </x:c>
      <x:c r="BU5"/>
      <x:c r="BV5" t="str">
        <x:v>研究问题：灵巧机器人学习缺少可携带、细节完整的人手示范。；之前方法的问题：只记录视频，难准确捕捉手腕、手指和环境的三维关系。；核心思路：DexCap 同步采集手腕与手指运动以及环境三维观测，形成可迁移的人手操作数据。；为什么重要：提醒示范采集装置决定后续策略能学到什么。；与当前项目的关系：Medium：普通夹爪不需手指细节，但腕部和环境标定有用。；主要局限：人手示范迁移到普通夹爪仍需动作重定向。</x:v>
      </x:c>
      <x:c r="BW5" t="str">
        <x:v>只记录视频，难准确捕捉手腕、手指和环境的三维关系。</x:v>
      </x:c>
      <x:c r="BX5" t="str">
        <x:v>DexCap 同步采集手腕与手指运动以及环境三维观测，形成可迁移的人手操作数据。</x:v>
      </x:c>
      <x:c r="BY5" t="str"/>
      <x:c r="BZ5" t="str">
        <x:v>作者报告在六项灵巧操作任务上验证采集与学习价值；具体数值需查正文。</x:v>
      </x:c>
      <x:c r="CA5" t="str">
        <x:v>提醒示范采集装置决定后续策略能学到什么。</x:v>
      </x:c>
      <x:c r="CB5" t="str">
        <x:v>人手示范迁移到普通夹爪仍需动作重定向。</x:v>
      </x:c>
      <x:c r="CC5" t="str"/>
      <x:c r="CD5" t="str">
        <x:v>Medium：普通夹爪不需手指细节，但腕部和环境标定有用。</x:v>
      </x:c>
      <x:c r="CE5" t="str">
        <x:v>官方摘要/论文页; https://roboticsproceedings.org/rss20/p043.html; 核验于 2026-09-23. 仅为摘要级速读；原 Evidence Quality 不变。 - 核验层级：摘要有可追溯来源</x:v>
      </x:c>
      <x:c r="CF5" t="str">
        <x:v>title</x:v>
      </x:c>
      <x:c r="CG5" t="n">
        <x:v>0</x:v>
      </x:c>
      <x:c r="CH5" t="n">
        <x:v>4</x:v>
      </x:c>
    </x:row>
    <x:row r="6" ht="62" customHeight="1">
      <x:c r="A6" t="str">
        <x:v>R005</x:v>
      </x:c>
      <x:c r="B6" t="str">
        <x:v>THE COLOSSEUM: A Benchmark for Evaluating Generalization for Robotic Manipulation</x:v>
      </x:c>
      <x:c r="C6" t="str">
        <x:v>Wilbert Pumacay; Ishika Singh; Jiafei Duan; Ranjay Krishna; Jesse Thomason; Dieter Fox</x:v>
      </x:c>
      <x:c r="D6" t="n">
        <x:v>2024</x:v>
      </x:c>
      <x:c r="E6" t="str">
        <x:v>RSS</x:v>
      </x:c>
      <x:c r="F6" t="str">
        <x:v>Robotics Core Venue</x:v>
      </x:c>
      <x:c r="G6" t="str">
        <x:v>Full Conference Paper</x:v>
      </x:c>
      <x:c r="H6" t="str">
        <x:v>Unknown</x:v>
      </x:c>
      <x:c r="I6" t="str">
        <x:v>Benchmark / Robot Manipulation / Generalization</x:v>
      </x:c>
      <x:c r="J6" t="str">
        <x:v>Environmental perturbation benchmark</x:v>
      </x:c>
      <x:c r="K6" t="str">
        <x:v>Benchmark; Generalization; Robot Manipulation; Simulation; Real World</x:v>
      </x:c>
      <x:c r="L6" t="str">
        <x:v>Manipulation policies are often evaluated too close to training conditions.</x:v>
      </x:c>
      <x:c r="M6" t="str">
        <x:v>A 20-task simulation benchmark with 14 perturbation axes and a real-world correlation study.</x:v>
      </x:c>
      <x:c r="N6" t="str">
        <x:v>Stress-test policies through controlled environmental changes.</x:v>
      </x:c>
      <x:c r="O6" t="e">
        <x:f>HYPERLINK("https://www.roboticsproceedings.org/rss20/p133.html","论文")</x:f>
        <x:v>HYPERLINK is not implemented. linkLocation=https://www.roboticsproceedings.org/rss20/p133.html, friendlyName=论文</x:v>
      </x:c>
      <x:c r="P6" t="e">
        <x:f>HYPERLINK("https://robot-colosseum.github.io/","Project")</x:f>
        <x:v>HYPERLINK is not implemented. linkLocation=https://robot-colosseum.github.io/, friendlyName=Project</x:v>
      </x:c>
      <x:c r="Q6" t="str">
        <x:v>Unknown</x:v>
      </x:c>
      <x:c r="R6" t="str">
        <x:v>Released (official abstract states open source; repository URL pending card verification)</x:v>
      </x:c>
      <x:c r="S6" t="str">
        <x:v>Unknown</x:v>
      </x:c>
      <x:c r="T6" t="str">
        <x:v>THE COLOSSEUM benchmark</x:v>
      </x:c>
      <x:c r="U6" t="str">
        <x:v>Simulation plus real-world replication</x:v>
      </x:c>
      <x:c r="V6" t="str">
        <x:v>Single Arm / Gripper</x:v>
      </x:c>
      <x:c r="W6" t="str">
        <x:v>Mixed</x:v>
      </x:c>
      <x:c r="X6" t="str">
        <x:v>P1</x:v>
      </x:c>
      <x:c r="Y6" t="str">
        <x:v>No</x:v>
      </x:c>
      <x:c r="Z6" t="str">
        <x:v>RSS official proceedings verified</x:v>
      </x:c>
      <x:c r="AA6" t="str">
        <x:v>2026-09-19</x:v>
      </x:c>
      <x:c r="AB6" t="str">
        <x:v>Repository URL must be rechecked before use.</x:v>
      </x:c>
      <x:c r="AC6" t="str">
        <x:v>02_Papers/10_Benchmark_Dataset/THE_COLOSSEUM.md</x:v>
      </x:c>
      <x:c r="AD6" t="str">
        <x:v>Robotics Core</x:v>
      </x:c>
      <x:c r="AE6" t="str">
        <x:v>RSS official proceedings abstract</x:v>
      </x:c>
      <x:c r="AF6" t="str">
        <x:v>Abstract-level</x:v>
      </x:c>
      <x:c r="AG6" t="str">
        <x:v>20 tasks, 14 perturbation axes and real-world correlation are stated in the official abstract.</x:v>
      </x:c>
      <x:c r="AH6" t="str">
        <x:v>A useful generali</x:v>
      </x:c>
      <x:c r="AI6" t="str">
        <x:v>CCF seventh edition: exact official row pending unless separately evidenced</x:v>
      </x:c>
      <x:c r="AJ6" t="str">
        <x:v>Benchmark / Dataset</x:v>
      </x:c>
      <x:c r="AK6" t="n">
        <x:v>26</x:v>
      </x:c>
      <x:c r="AL6" t="str">
        <x:v>OpenAlex</x:v>
      </x:c>
      <x:c r="AM6" t="str">
        <x:v>2026-09-25</x:v>
      </x:c>
      <x:c r="AN6" t="str">
        <x:v>操作策略若只在接近训练条件的环境中评测，难以判断其鲁棒性。</x:v>
      </x:c>
      <x:c r="AO6" t="str">
        <x:v>Unknown / Needs Full-Paper Verification</x:v>
      </x:c>
      <x:c r="AP6" t="str">
        <x:v>Stress-test policies through controlled environmental changes.</x:v>
      </x:c>
      <x:c r="AQ6" t="str">
        <x:v>THE COLOSSEUM 基准；具体扰动维度和策略清单需核对正文。</x:v>
      </x:c>
      <x:c r="AR6" t="str">
        <x:v>Unknown / Needs Full-Paper Verification</x:v>
      </x:c>
      <x:c r="AS6" t="str">
        <x:v>- A 20-task simulation benchmark with 14 perturbation axes and a real-world correlation study.</x:v>
      </x:c>
      <x:c r="AT6" t="str">
        <x:v>20 tasks, 14 perturbation axes and real-world correlation are stated in the official abstract.</x:v>
      </x:c>
      <x:c r="AU6" t="str">
        <x:v>官方摘要报告，仿真扰动结果与相似真实扰动实验存在相关性，调整后的 R² = 0.614。</x:v>
      </x:c>
      <x:c r="AV6" t="str">
        <x:v>Unknown / Needs Full-Paper Verification</x:v>
      </x:c>
      <x:c r="AW6" t="str">
        <x:v>Library Analysis / Research Note: Unknown / Needs Full-Paper Verification</x:v>
      </x:c>
      <x:c r="AX6" t="str">
        <x:v>B</x:v>
      </x:c>
      <x:c r="AY6" t="str"/>
      <x:c r="AZ6" t="str">
        <x:v>Unknown / Not Explicitly Reported in the currently accessible sources.</x:v>
      </x:c>
      <x:c r="BA6" t="str">
        <x:v>Unknown / Not Explicitly Reported in the currently accessible sources.</x:v>
      </x:c>
      <x:c r="BB6" t="str">
        <x:v>https://openalex.org/W4402354166</x:v>
      </x:c>
      <x:c r="BC6" t="str">
        <x:v>RSS official proceedings abstract</x:v>
      </x:c>
      <x:c r="BD6" t="str">
        <x:v>B-Code-Unverified</x:v>
      </x:c>
      <x:c r="BE6" t="str">
        <x:v>Not Found</x:v>
      </x:c>
      <x:c r="BF6" t="str">
        <x:v>Unavailable</x:v>
      </x:c>
      <x:c r="BG6" t="str">
        <x:v>Simulation plus real-world replication</x:v>
      </x:c>
      <x:c r="BH6" t="str">
        <x:v>https://www.roboticsproceedings.org/rss20/p133.pdf</x:v>
      </x:c>
      <x:c r="BI6" t="str">
        <x:v>No</x:v>
      </x:c>
      <x:c r="BJ6" t="str">
        <x:v>No</x:v>
      </x:c>
      <x:c r="BK6" t="str">
        <x:v>No</x:v>
      </x:c>
      <x:c r="BL6" t="str">
        <x:v>No</x:v>
      </x:c>
      <x:c r="BM6" t="str">
        <x:v>No</x:v>
      </x:c>
      <x:c r="BN6" t="str">
        <x:v>No</x:v>
      </x:c>
      <x:c r="BO6" t="str">
        <x:v>No</x:v>
      </x:c>
      <x:c r="BP6" t="str">
        <x:v>Matched</x:v>
      </x:c>
      <x:c r="BQ6" t="str">
        <x:v>Not Found After Verification</x:v>
      </x:c>
      <x:c r="BR6" t="str">
        <x:v>Not Found After Verification</x:v>
      </x:c>
      <x:c r="BS6" t="str">
        <x:v>Audit logged - deep extraction pending</x:v>
      </x:c>
      <x:c r="BT6" t="str">
        <x:v>false</x:v>
      </x:c>
      <x:c r="BU6"/>
      <x:c r="BV6" t="str">
        <x:v>研究问题：操作策略若只在接近训练条件的环境中评测，难以判断其鲁棒性。；核心思路：THE COLOSSEUM 通过受控环境扰动对策略进行压力测试。；数据集与评测基准：THE COLOSSEUM 基准；具体扰动维度和策略清单需核对正文。；主要结果：官方摘要报告，仿真扰动结果与相似真实扰动实验存在相关性，调整后的 R² = 0.614。；为什么重要：可帮助设计跨光照、外观和几何变化的泛化评测。；与当前项目的关系：Medium：适合构建本项目的分布外评测，但需匹配实际传感器和夹爪。；主要局限：相关性并不意味着单个策略的真实成功率可由仿真精确预测。</x:v>
      </x:c>
      <x:c r="BW6" t="str">
        <x:v>已核验摘要未明确说明；需查阅论文方法与实验章节。</x:v>
      </x:c>
      <x:c r="BX6" t="str">
        <x:v>THE COLOSSEUM 通过受控环境扰动对策略进行压力测试。</x:v>
      </x:c>
      <x:c r="BY6" t="str"/>
      <x:c r="BZ6" t="str">
        <x:v>官方摘要报告，仿真扰动结果与相似真实扰动实验存在相关性，调整后的 R² = 0.614。</x:v>
      </x:c>
      <x:c r="CA6" t="str">
        <x:v>可帮助设计跨光照、外观和几何变化的泛化评测。</x:v>
      </x:c>
      <x:c r="CB6" t="str">
        <x:v>相关性并不意味着单个策略的真实成功率可由仿真精确预测。</x:v>
      </x:c>
      <x:c r="CC6" t="str"/>
      <x:c r="CD6" t="str">
        <x:v>Medium：适合构建本项目的分布外评测，但需匹配实际传感器和夹爪。</x:v>
      </x:c>
      <x:c r="CE6" t="str">
        <x:v>官方摘要/论文页; https://www.roboticsproceedings.org/rss20/p133.html; 核验于 2026-09-23. 仅为摘要级速读；原 Evidence Quality 不变。 - 核验层级：摘要有可追溯来源</x:v>
      </x:c>
      <x:c r="CF6" t="str">
        <x:v>final-title</x:v>
      </x:c>
      <x:c r="CG6" t="n">
        <x:v>0</x:v>
      </x:c>
      <x:c r="CH6" t="n">
        <x:v>2</x:v>
      </x:c>
    </x:row>
    <x:row r="7" ht="62" customHeight="1">
      <x:c r="A7" t="str">
        <x:v>R006</x:v>
      </x:c>
      <x:c r="B7" t="str">
        <x:v>Constrained Bimanual Planning with Analytic Inverse Kinematics</x:v>
      </x:c>
      <x:c r="C7" t="str">
        <x:v>Thomas Cohn; Seiji Shaw; Max Simchowitz; Russ Tedrake</x:v>
      </x:c>
      <x:c r="D7" t="n">
        <x:v>2024</x:v>
      </x:c>
      <x:c r="E7" t="str">
        <x:v>ICRA</x:v>
      </x:c>
      <x:c r="F7" t="str">
        <x:v>Robotics Core Venue</x:v>
      </x:c>
      <x:c r="G7" t="str">
        <x:v>Full Conference Paper</x:v>
      </x:c>
      <x:c r="H7" t="str">
        <x:v>Unknown</x:v>
      </x:c>
      <x:c r="I7" t="str">
        <x:v>Bimanual Manipulation / Motion Planning</x:v>
      </x:c>
      <x:c r="J7" t="str">
        <x:v>Analytic IK parameterization</x:v>
      </x:c>
      <x:c r="K7" t="str">
        <x:v>Bimanual; Motion Planning; Collision Avoidance; Real Robot</x:v>
      </x:c>
      <x:c r="L7" t="str">
        <x:v>Planning while maintaining a fixed transform between two end effectors creates difficult equality constraints.</x:v>
      </x:c>
      <x:c r="M7" t="str">
        <x:v>Uses analytic inverse kinematics to parameterize a lower-dimensional feasible space compatible with existing planners.</x:v>
      </x:c>
      <x:c r="N7" t="str">
        <x:v>Make the constrained bimanual manifold directly searchable.</x:v>
      </x:c>
      <x:c r="O7" t="e">
        <x:f>HYPERLINK("https://ieeexplore.ieee.org/document/10610675/","论文")</x:f>
        <x:v>HYPERLINK is not implemented. linkLocation=https://ieeexplore.ieee.org/document/10610675/, friendlyName=论文</x:v>
      </x:c>
      <x:c r="P7" t="e">
        <x:f>HYPERLINK("https://tommycohn.com/Bimanual-Web/index.html","Project")</x:f>
        <x:v>HYPERLINK is not implemented. linkLocation=https://tommycohn.com/Bimanual-Web/index.html, friendlyName=Project</x:v>
      </x:c>
      <x:c r="Q7" t="e">
        <x:f>HYPERLINK("https://github.com/cohnt/constrained-bimanual-planning-example","GitHub")</x:f>
        <x:v>HYPERLINK is not implemented. linkLocation=https://github.com/cohnt/constrained-bimanual-planning-example, friendlyName=GitHub</x:v>
      </x:c>
      <x:c r="R7" t="str">
        <x:v>Released</x:v>
      </x:c>
      <x:c r="S7" t="str">
        <x:v>Not applicable</x:v>
      </x:c>
      <x:c r="T7" t="str">
        <x:v>Not applicable</x:v>
      </x:c>
      <x:c r="U7" t="str">
        <x:v>Dual robot arms; exact model pending full-paper check</x:v>
      </x:c>
      <x:c r="V7" t="str">
        <x:v>Bimanual / Gripper</x:v>
      </x:c>
      <x:c r="W7" t="str">
        <x:v>Yes</x:v>
      </x:c>
      <x:c r="X7" t="str">
        <x:v>P1</x:v>
      </x:c>
      <x:c r="Y7" t="str">
        <x:v>No</x:v>
      </x:c>
      <x:c r="Z7" t="str">
        <x:v>IEEE Xplore ICRA record verified</x:v>
      </x:c>
      <x:c r="AA7" t="str">
        <x:v>2026-09-19</x:v>
      </x:c>
      <x:c r="AB7" t="str">
        <x:v>Planning-focused rather than end-to-end policy learning.</x:v>
      </x:c>
      <x:c r="AC7" t="str">
        <x:v>02_Papers/03_Bimanual/Constrained_Bimanual_Planning.md</x:v>
      </x:c>
      <x:c r="AD7" t="str">
        <x:v>Robotics Core</x:v>
      </x:c>
      <x:c r="AE7" t="str">
        <x:v>IEEE Xplore abstract; official project page</x:v>
      </x:c>
      <x:c r="AF7" t="str">
        <x:v>Abstract-level</x:v>
      </x:c>
      <x:c r="AG7" t="str">
        <x:v>Official paper/project materials include bimanual hardware planning examples.</x:v>
      </x:c>
      <x:c r="AH7" t="str">
        <x:v>** Useful for safe dual-arm constraints and planner-policy integration.</x:v>
      </x:c>
      <x:c r="AI7" t="str">
        <x:v>CCF seventh edition: exact official row pending unless separately evidenced</x:v>
      </x:c>
      <x:c r="AJ7" t="str">
        <x:v>Bimanual</x:v>
      </x:c>
      <x:c r="AK7" t="n">
        <x:v>11</x:v>
      </x:c>
      <x:c r="AL7" t="str">
        <x:v>OpenAlex</x:v>
      </x:c>
      <x:c r="AM7" t="str">
        <x:v>2026-09-25</x:v>
      </x:c>
      <x:c r="AN7" t="str">
        <x:v>双臂共同操作时，两只末端之间常需保持固定相对位姿。</x:v>
      </x:c>
      <x:c r="AO7" t="str">
        <x:v>Unknown / Needs Full-Paper Verification</x:v>
      </x:c>
      <x:c r="AP7" t="str">
        <x:v>Make the constrained bimanual manifold directly searchable.</x:v>
      </x:c>
      <x:c r="AQ7" t="str">
        <x:v>约束双臂规划场景；具体 benchmark 需核对正文。</x:v>
      </x:c>
      <x:c r="AR7" t="str">
        <x:v>Unknown / Needs Full-Paper Verification</x:v>
      </x:c>
      <x:c r="AS7" t="str">
        <x:v>- Uses analytic inverse kinematics to parameteri</x:v>
      </x:c>
      <x:c r="AT7" t="str">
        <x:v>Official paper/project materials include bimanual hardware planning examples.</x:v>
      </x:c>
      <x:c r="AU7" t="str">
        <x:v>已核验摘要未提供可安全复述的统一量化结果。</x:v>
      </x:c>
      <x:c r="AV7" t="str">
        <x:v>Unknown / Needs Full-Paper Verification</x:v>
      </x:c>
      <x:c r="AW7" t="str">
        <x:v>Library Analysis / Research Note: Unknown / Needs Full-Paper Verification</x:v>
      </x:c>
      <x:c r="AX7" t="str">
        <x:v>B</x:v>
      </x:c>
      <x:c r="AY7" t="str"/>
      <x:c r="AZ7" t="str">
        <x:v>Unknown / Not Explicitly Reported in the currently accessible sources.</x:v>
      </x:c>
      <x:c r="BA7" t="str">
        <x:v>Unknown / Not Explicitly Reported in the currently accessible sources.</x:v>
      </x:c>
      <x:c r="BB7" t="str">
        <x:v>https://openalex.org/W4401415458</x:v>
      </x:c>
      <x:c r="BC7" t="str">
        <x:v>IEEE Xplore abstract; official project page</x:v>
      </x:c>
      <x:c r="BD7" t="str">
        <x:v>B-Fulltext-Unavailable</x:v>
      </x:c>
      <x:c r="BE7" t="str">
        <x:v>Not Found</x:v>
      </x:c>
      <x:c r="BF7" t="str">
        <x:v>Mostly Complete</x:v>
      </x:c>
      <x:c r="BG7" t="str">
        <x:v>Dual robot arms; exact model pending full-paper check</x:v>
      </x:c>
      <x:c r="BH7" t="str">
        <x:v>https://arxiv.org/pdf/2309.08770</x:v>
      </x:c>
      <x:c r="BI7" t="str">
        <x:v>No</x:v>
      </x:c>
      <x:c r="BJ7" t="str">
        <x:v>No</x:v>
      </x:c>
      <x:c r="BK7" t="str">
        <x:v>No</x:v>
      </x:c>
      <x:c r="BL7" t="str">
        <x:v>No</x:v>
      </x:c>
      <x:c r="BM7" t="str">
        <x:v>No</x:v>
      </x:c>
      <x:c r="BN7" t="str">
        <x:v>No</x:v>
      </x:c>
      <x:c r="BO7" t="str">
        <x:v>No</x:v>
      </x:c>
      <x:c r="BP7" t="str">
        <x:v>Matched</x:v>
      </x:c>
      <x:c r="BQ7" t="str">
        <x:v>Not Found After Verification</x:v>
      </x:c>
      <x:c r="BR7" t="str">
        <x:v>Not Found After Verification</x:v>
      </x:c>
      <x:c r="BS7" t="str">
        <x:v>Audit logged - deep extraction pending</x:v>
      </x:c>
      <x:c r="BT7" t="str">
        <x:v>false</x:v>
      </x:c>
      <x:c r="BU7"/>
      <x:c r="BV7" t="str">
        <x:v>研究问题：双臂共同操作时，两只末端之间常需保持固定相对位姿。；之前方法的问题：这种等式约束使普通规划器难以高效搜索可行动作。；核心思路：直接在满足双臂相对位姿约束的运动流形上搜索轨迹。；数据集与评测基准：约束双臂规划场景；具体 benchmark 需核对正文。；主要结果：已核验摘要未提供可安全复述的统一量化结果。；为什么重要：为普通夹爪共同搬运物体提供几何约束基线。；与当前项目的关系：High：双臂同步和共同约束是本项目基础问题。；主要局限：需评估模型化固定相对位姿与真实滑动、形变之间的差异。</x:v>
      </x:c>
      <x:c r="BW7" t="str">
        <x:v>这种等式约束使普通规划器难以高效搜索可行动作。</x:v>
      </x:c>
      <x:c r="BX7" t="str">
        <x:v>直接在满足双臂相对位姿约束的运动流形上搜索轨迹。</x:v>
      </x:c>
      <x:c r="BY7" t="str"/>
      <x:c r="BZ7" t="str">
        <x:v>已核验摘要未提供可安全复述的统一量化结果。</x:v>
      </x:c>
      <x:c r="CA7" t="str">
        <x:v>为普通夹爪共同搬运物体提供几何约束基线。</x:v>
      </x:c>
      <x:c r="CB7" t="str">
        <x:v>需评估模型化固定相对位姿与真实滑动、形变之间的差异。</x:v>
      </x:c>
      <x:c r="CC7" t="str"/>
      <x:c r="CD7" t="str">
        <x:v>High：双臂同步和共同约束是本项目基础问题。</x:v>
      </x:c>
      <x:c r="CE7" t="str">
        <x:v>官方摘要/论文页; https://arxiv.org/html/2309.08770; 核验于 2026-09-23. 仅为摘要级速读；原 Evidence Quality 不变。 - 核验层级：摘要有可追溯来源</x:v>
      </x:c>
      <x:c r="CF7" t="str">
        <x:v>title</x:v>
      </x:c>
      <x:c r="CG7" t="n">
        <x:v>0</x:v>
      </x:c>
      <x:c r="CH7" t="n">
        <x:v>0</x:v>
      </x:c>
    </x:row>
    <x:row r="8" ht="62" customHeight="1">
      <x:c r="A8" t="str">
        <x:v>R007</x:v>
      </x:c>
      <x:c r="B8" t="str">
        <x:v>Multimodal and Force-Matched Imitation Learning With a See-Through Visuotactile Sensor</x:v>
      </x:c>
      <x:c r="C8" t="str">
        <x:v>Trevor Ablett; Oliver Limoyo; Adam Sigal; Affan Jilani; Jonathan Kelly; Kaleem Siddiqi; Francois Hogan; Gregory Dudek</x:v>
      </x:c>
      <x:c r="D8" t="n">
        <x:v>2024</x:v>
      </x:c>
      <x:c r="E8" t="str">
        <x:v>T-RO</x:v>
      </x:c>
      <x:c r="F8" t="str">
        <x:v>Robotics Core Journal</x:v>
      </x:c>
      <x:c r="G8" t="str">
        <x:v>Journal Article</x:v>
      </x:c>
      <x:c r="H8" t="str">
        <x:v>Unknown</x:v>
      </x:c>
      <x:c r="I8" t="str">
        <x:v>Robot Manipulation / Imitation Learning / Vision-Tactile</x:v>
      </x:c>
      <x:c r="J8" t="str">
        <x:v>Force-matched kinesthetic teaching</x:v>
      </x:c>
      <x:c r="K8" t="str">
        <x:v>Imitation Learning; Vision-Tactile; Contact-rich; Real Robot</x:v>
      </x:c>
      <x:c r="L8" t="str">
        <x:v>Contact-rich imitation must reproduce forces and switch sensing/control modes reliably.</x:v>
      </x:c>
      <x:c r="M8" t="str">
        <x:v>Combines tactile force matching with learned visuotactile mode switching.</x:v>
      </x:c>
      <x:c r="N8" t="str">
        <x:v>Use see-through tactile feedback both during demonstration adaptation and policy execution.</x:v>
      </x:c>
      <x:c r="O8" t="e">
        <x:f>HYPERLINK("https://ieeexplore.ieee.org/document/10814647/","论文")</x:f>
        <x:v>HYPERLINK is not implemented. linkLocation=https://ieeexplore.ieee.org/document/10814647/, friendlyName=论文</x:v>
      </x:c>
      <x:c r="P8" t="e">
        <x:f>HYPERLINK("https://papers.starslab.ca/sts-il/","Project")</x:f>
        <x:v>HYPERLINK is not implemented. linkLocation=https://papers.starslab.ca/sts-il/, friendlyName=Project</x:v>
      </x:c>
      <x:c r="Q8" t="str">
        <x:v>Unknown</x:v>
      </x:c>
      <x:c r="R8" t="str">
        <x:v>Unknown</x:v>
      </x:c>
      <x:c r="S8" t="str">
        <x:v>Unknown</x:v>
      </x:c>
      <x:c r="T8" t="str">
        <x:v>Door-opening demonstrations; release status Unknown</x:v>
      </x:c>
      <x:c r="U8" t="str">
        <x:v>Robot arm with visuotactile end effector</x:v>
      </x:c>
      <x:c r="V8" t="str">
        <x:v>Single Arm / Gripper</x:v>
      </x:c>
      <x:c r="W8" t="str">
        <x:v>Yes</x:v>
      </x:c>
      <x:c r="X8" t="str">
        <x:v>P1</x:v>
      </x:c>
      <x:c r="Y8" t="str">
        <x:v>No</x:v>
      </x:c>
      <x:c r="Z8" t="str">
        <x:v>IEEE Xplore T-RO record verified</x:v>
      </x:c>
      <x:c r="AA8" t="str">
        <x:v>2026-09-19</x:v>
      </x:c>
      <x:c r="AB8" t="str">
        <x:v>IEEE date is 2024; volume publication is 2025. Year field follows Date of Publication.</x:v>
      </x:c>
      <x:c r="AC8" t="str">
        <x:v>02_Papers/06_Diffusion_Flow_IL_RL/Force_Matched_Visuotactile_IL.md</x:v>
      </x:c>
      <x:c r="AD8" t="str">
        <x:v>Robotics Core</x:v>
      </x:c>
      <x:c r="AE8" t="str">
        <x:v>IEEE Xplore abstract</x:v>
      </x:c>
      <x:c r="AF8" t="str">
        <x:v>Abstract-level</x:v>
      </x:c>
      <x:c r="AG8" t="str">
        <x:v>Four real robot door-opening tasks are reported.</x:v>
      </x:c>
      <x:c r="AH8" t="str">
        <x:v>** Relevant to demonstration collection and contact-rich manipulation; tactile hardware is an optional extension.</x:v>
      </x:c>
      <x:c r="AI8" t="str">
        <x:v>CCF seventh edition: exact official row pending unless separately evidenced</x:v>
      </x:c>
      <x:c r="AJ8" t="str">
        <x:v>Diffusion / Flow / IL / RL</x:v>
      </x:c>
      <x:c r="AK8" t="n">
        <x:v>14</x:v>
      </x:c>
      <x:c r="AL8" t="str">
        <x:v>OpenAlex</x:v>
      </x:c>
      <x:c r="AM8" t="str">
        <x:v>2026-09-25</x:v>
      </x:c>
      <x:c r="AN8" t="str">
        <x:v>接触密集操作既要视觉定位，也要复现合适接触力。</x:v>
      </x:c>
      <x:c r="AO8" t="str">
        <x:v>Unknown / Needs Full-Paper Verification</x:v>
      </x:c>
      <x:c r="AP8" t="str">
        <x:v>Use see-through tactile feedback both during demonstration adaptation and policy execution.</x:v>
      </x:c>
      <x:c r="AQ8" t="str">
        <x:v>已核验摘要未明确说明；需查阅论文方法与实验章节。</x:v>
      </x:c>
      <x:c r="AR8" t="str">
        <x:v>Unknown / Needs Full-Paper Verification</x:v>
      </x:c>
      <x:c r="AS8" t="str">
        <x:v>- Combines tactile force matching with learned visuotactile mode switching.</x:v>
      </x:c>
      <x:c r="AT8" t="str">
        <x:v>Four real robot door-opening tasks are reported.</x:v>
      </x:c>
      <x:c r="AU8" t="str">
        <x:v>Unknown / Needs Full-Paper Verification</x:v>
      </x:c>
      <x:c r="AV8" t="str">
        <x:v>Unknown / Needs Full-Paper Verification</x:v>
      </x:c>
      <x:c r="AW8" t="str">
        <x:v>Library Analysis / Research Note: Unknown / Needs Full-Paper Verification</x:v>
      </x:c>
      <x:c r="AX8" t="str">
        <x:v>B</x:v>
      </x:c>
      <x:c r="AY8" t="str"/>
      <x:c r="AZ8" t="str">
        <x:v>Unknown / Not Explicitly Reported in the currently accessible sources.</x:v>
      </x:c>
      <x:c r="BA8" t="str">
        <x:v>Unknown / Not Explicitly Reported in the currently accessible sources.</x:v>
      </x:c>
      <x:c r="BB8" t="str">
        <x:v>https://openalex.org/W4405753615</x:v>
      </x:c>
      <x:c r="BC8" t="str">
        <x:v>IEEE Xplore abstract</x:v>
      </x:c>
      <x:c r="BD8" t="str">
        <x:v>B-Code-Unverified</x:v>
      </x:c>
      <x:c r="BE8" t="str">
        <x:v>Not Found</x:v>
      </x:c>
      <x:c r="BF8" t="str">
        <x:v>Unavailable</x:v>
      </x:c>
      <x:c r="BG8" t="str">
        <x:v>Robot arm with visuotactile end effector</x:v>
      </x:c>
      <x:c r="BH8" t="str">
        <x:v>https://arxiv.org/pdf/2311.01248</x:v>
      </x:c>
      <x:c r="BI8" t="str">
        <x:v>No</x:v>
      </x:c>
      <x:c r="BJ8" t="str">
        <x:v>No</x:v>
      </x:c>
      <x:c r="BK8" t="str">
        <x:v>No</x:v>
      </x:c>
      <x:c r="BL8" t="str">
        <x:v>No</x:v>
      </x:c>
      <x:c r="BM8" t="str">
        <x:v>No</x:v>
      </x:c>
      <x:c r="BN8" t="str">
        <x:v>No</x:v>
      </x:c>
      <x:c r="BO8" t="str">
        <x:v>No</x:v>
      </x:c>
      <x:c r="BP8" t="str">
        <x:v>Matched</x:v>
      </x:c>
      <x:c r="BQ8" t="str">
        <x:v>Not Found After Verification</x:v>
      </x:c>
      <x:c r="BR8" t="str">
        <x:v>Not Found After Verification</x:v>
      </x:c>
      <x:c r="BS8" t="str">
        <x:v>Audit logged - deep extraction pending</x:v>
      </x:c>
      <x:c r="BT8" t="str">
        <x:v>false</x:v>
      </x:c>
      <x:c r="BU8"/>
      <x:c r="BV8" t="str">
        <x:v>研究问题：接触密集操作既要视觉定位，也要复现合适接触力。；之前方法的问题：只看图像的模仿策略可能忽略力反馈和感知模式切换。；核心思路：在示范适配与策略执行中使用透视式触觉反馈，并加入力匹配和视觉—触觉模式切换。；为什么重要：提示普通夹爪接触任务可能需要力信号而不只是相机。；与当前项目的关系：High：双臂共同接触物体时，夹持力和滑动风险关键。；主要局限：需检查本项目硬件是否具备相应触觉/力传感。</x:v>
      </x:c>
      <x:c r="BW8" t="str">
        <x:v>只看图像的模仿策略可能忽略力反馈和感知模式切换。</x:v>
      </x:c>
      <x:c r="BX8" t="str">
        <x:v>在示范适配与策略执行中使用透视式触觉反馈，并加入力匹配和视觉—触觉模式切换。</x:v>
      </x:c>
      <x:c r="BY8" t="str"/>
      <x:c r="BZ8" t="str">
        <x:v>卡片记录力匹配使平均成功率提高 62.5%；模式切换的独立贡献见原文。</x:v>
      </x:c>
      <x:c r="CA8" t="str">
        <x:v>提示普通夹爪接触任务可能需要力信号而不只是相机。</x:v>
      </x:c>
      <x:c r="CB8" t="str">
        <x:v>需检查本项目硬件是否具备相应触觉/力传感。</x:v>
      </x:c>
      <x:c r="CC8" t="str"/>
      <x:c r="CD8" t="str">
        <x:v>High：双臂共同接触物体时，夹持力和滑动风险关键。</x:v>
      </x:c>
      <x:c r="CE8" t="str">
        <x:v>OpenAlex 索引摘要; https://api.openalex.org/works/W4405753615; 核验于 2026-09-23. 仅为摘要级速读；原 Evidence Quality 不变。 - 核验层级：摘要有可追溯来源</x:v>
      </x:c>
      <x:c r="CF8" t="str">
        <x:v>title</x:v>
      </x:c>
      <x:c r="CG8" t="n">
        <x:v>0</x:v>
      </x:c>
      <x:c r="CH8" t="n">
        <x:v>1</x:v>
      </x:c>
    </x:row>
    <x:row r="9" ht="62" customHeight="1">
      <x:c r="A9" t="str">
        <x:v>R008</x:v>
      </x:c>
      <x:c r="B9" t="str">
        <x:v>Real-Time Coordination of Multiple Robotic Arms With Reactive Trajectory Modulation</x:v>
      </x:c>
      <x:c r="C9" t="str">
        <x:v>Unknown</x:v>
      </x:c>
      <x:c r="D9" t="n">
        <x:v>2024</x:v>
      </x:c>
      <x:c r="E9" t="str">
        <x:v>T-RO</x:v>
      </x:c>
      <x:c r="F9" t="str">
        <x:v>Robotics Core Journal</x:v>
      </x:c>
      <x:c r="G9" t="str">
        <x:v>Journal Article</x:v>
      </x:c>
      <x:c r="H9" t="str">
        <x:v>Unknown</x:v>
      </x:c>
      <x:c r="I9" t="str">
        <x:v>Bimanual / Multi-arm Coordination</x:v>
      </x:c>
      <x:c r="J9" t="str">
        <x:v>Reactive trajectory modulation from demonstrations</x:v>
      </x:c>
      <x:c r="K9" t="str">
        <x:v>Bimanual; Multi-arm; Demonstration; Collision Avoidance; Real Robot</x:v>
      </x:c>
      <x:c r="L9" t="str">
        <x:v>Multiple arms need online trajectory adaptation and collision avoidance in shared workspaces.</x:v>
      </x:c>
      <x:c r="M9" t="str">
        <x:v>Combines learned movement primitives with reactive multi-arm coordination.</x:v>
      </x:c>
      <x:c r="N9" t="str">
        <x:v>Modulate demonstrated trajectories online while coordinating shared-space motion.</x:v>
      </x:c>
      <x:c r="O9" t="e">
        <x:f>HYPERLINK("https://ieeexplore.ieee.org/document/10758213/","论文")</x:f>
        <x:v>HYPERLINK is not implemented. linkLocation=https://ieeexplore.ieee.org/document/10758213/, friendlyName=论文</x:v>
      </x:c>
      <x:c r="P9" t="str">
        <x:v>Unknown</x:v>
      </x:c>
      <x:c r="Q9" t="str">
        <x:v>Unknown</x:v>
      </x:c>
      <x:c r="R9" t="str">
        <x:v>Unknown</x:v>
      </x:c>
      <x:c r="S9" t="str">
        <x:v>Unknown</x:v>
      </x:c>
      <x:c r="T9" t="str">
        <x:v>Single-demonstration trajectories; release status Unknown</x:v>
      </x:c>
      <x:c r="U9" t="str">
        <x:v>Multiple robotic arms</x:v>
      </x:c>
      <x:c r="V9" t="str">
        <x:v>Multi-arm / Gripper</x:v>
      </x:c>
      <x:c r="W9" t="str">
        <x:v>Yes</x:v>
      </x:c>
      <x:c r="X9" t="str">
        <x:v>P1</x:v>
      </x:c>
      <x:c r="Y9" t="str">
        <x:v>No</x:v>
      </x:c>
      <x:c r="Z9" t="str">
        <x:v>IEEE Xplore T-RO record verified; authors pending</x:v>
      </x:c>
      <x:c r="AA9" t="str">
        <x:v>2026-09-19</x:v>
      </x:c>
      <x:c r="AB9" t="str">
        <x:v>Published online in 2024, assigned to T-RO volume 41.</x:v>
      </x:c>
      <x:c r="AC9" t="str">
        <x:v>02_Papers/03_Bimanual/Reactive_Multiarm_Coordination.md</x:v>
      </x:c>
      <x:c r="AD9" t="str">
        <x:v>Robotics Core</x:v>
      </x:c>
      <x:c r="AE9" t="str">
        <x:v>IEEE Xplore abstract</x:v>
      </x:c>
      <x:c r="AF9" t="str">
        <x:v>Abstract-level</x:v>
      </x:c>
      <x:c r="AG9" t="str">
        <x:v>Experiments with multiple arms in a shared workspace are reported.</x:v>
      </x:c>
      <x:c r="AH9" t="str">
        <x:v>** Directly relevant to NERO dual-arm coordination and collision-aware trajectory execution.</x:v>
      </x:c>
      <x:c r="AI9" t="str">
        <x:v>CCF seventh edition: exact official row pending unless separately evidenced</x:v>
      </x:c>
      <x:c r="AJ9" t="str">
        <x:v>Bimanual</x:v>
      </x:c>
      <x:c r="AK9" t="n">
        <x:v>10</x:v>
      </x:c>
      <x:c r="AL9" t="str">
        <x:v>Crossref</x:v>
      </x:c>
      <x:c r="AM9" t="str">
        <x:v>2026-09-25</x:v>
      </x:c>
      <x:c r="AN9" t="str">
        <x:v>多只机械臂共享工作空间时，需要在线修改轨迹并避免碰撞。</x:v>
      </x:c>
      <x:c r="AO9" t="str">
        <x:v>Unknown / Needs Full-Paper Verification</x:v>
      </x:c>
      <x:c r="AP9" t="str">
        <x:v>Modulate demonstrated trajectories online while coordinating shared-space motion.</x:v>
      </x:c>
      <x:c r="AQ9" t="str">
        <x:v>多臂协调场景；具体任务和平台需查正文。</x:v>
      </x:c>
      <x:c r="AR9" t="str">
        <x:v>Unknown / Needs Full-Paper Verification</x:v>
      </x:c>
      <x:c r="AS9" t="str">
        <x:v>- Combines learned movement primitives with reactive multi-arm coordination.</x:v>
      </x:c>
      <x:c r="AT9" t="str">
        <x:v>Experiments with multiple arms in a shared workspace are reported.</x:v>
      </x:c>
      <x:c r="AU9" t="str">
        <x:v>已核验摘要未给可安全复述的统一量化结果。</x:v>
      </x:c>
      <x:c r="AV9" t="str">
        <x:v>Unknown / Needs Full-Paper Verification</x:v>
      </x:c>
      <x:c r="AW9" t="str">
        <x:v>Library Analysis / Research Note: Unknown / Needs Full-Paper Verification</x:v>
      </x:c>
      <x:c r="AX9" t="str">
        <x:v>B</x:v>
      </x:c>
      <x:c r="AY9" t="str"/>
      <x:c r="AZ9" t="str">
        <x:v>Unknown / Not Explicitly Reported in the currently accessible sources.</x:v>
      </x:c>
      <x:c r="BA9" t="str">
        <x:v>Unknown / Not Explicitly Reported in the currently accessible sources.</x:v>
      </x:c>
      <x:c r="BB9" t="str">
        <x:v>https://api.crossref.org/works/10.1109/tro.2024.3502223</x:v>
      </x:c>
      <x:c r="BC9" t="str">
        <x:v>IEEE Xplore abstract</x:v>
      </x:c>
      <x:c r="BD9" t="str">
        <x:v>B-Code-Unverified</x:v>
      </x:c>
      <x:c r="BE9" t="str">
        <x:v>Not Found</x:v>
      </x:c>
      <x:c r="BF9" t="str">
        <x:v>Unavailable</x:v>
      </x:c>
      <x:c r="BG9" t="str">
        <x:v>Multiple robotic arms</x:v>
      </x:c>
      <x:c r="BH9"/>
      <x:c r="BI9" t="str">
        <x:v>No</x:v>
      </x:c>
      <x:c r="BJ9" t="str">
        <x:v>No</x:v>
      </x:c>
      <x:c r="BK9" t="str">
        <x:v>No</x:v>
      </x:c>
      <x:c r="BL9" t="str">
        <x:v>No</x:v>
      </x:c>
      <x:c r="BM9" t="str">
        <x:v>No</x:v>
      </x:c>
      <x:c r="BN9" t="str">
        <x:v>No</x:v>
      </x:c>
      <x:c r="BO9" t="str">
        <x:v>No</x:v>
      </x:c>
      <x:c r="BP9" t="str">
        <x:v>Matched</x:v>
      </x:c>
      <x:c r="BQ9" t="str">
        <x:v>Not Found After Verification</x:v>
      </x:c>
      <x:c r="BR9" t="str">
        <x:v>Not Found After Verification</x:v>
      </x:c>
      <x:c r="BS9" t="str">
        <x:v>Audit logged - deep extraction pending</x:v>
      </x:c>
      <x:c r="BT9" t="str">
        <x:v>false</x:v>
      </x:c>
      <x:c r="BU9"/>
      <x:c r="BV9" t="str">
        <x:v>研究问题：多只机械臂共享工作空间时，需要在线修改轨迹并避免碰撞。；之前方法的问题：离线示范轨迹不能保证在动态变化下仍安全可行。；核心思路：对示范轨迹做在线调制，并在共享空间中协调多臂运动。；主要结果：已核验摘要未给可安全复述的统一量化结果。；为什么重要：为双臂策略外部增加安全协调层提供参照。；与当前项目的关系：High：普通夹爪双臂真机必须处理共享空间碰撞。；主要局限：需验证在线修正是否破坏原策略的任务意图。</x:v>
      </x:c>
      <x:c r="BW9" t="str">
        <x:v>离线示范轨迹不能保证在动态变化下仍安全可行。</x:v>
      </x:c>
      <x:c r="BX9" t="str">
        <x:v>对示范轨迹做在线调制，并在共享空间中协调多臂运动。</x:v>
      </x:c>
      <x:c r="BY9" t="str"/>
      <x:c r="BZ9" t="str">
        <x:v>已核验摘要未给可安全复述的统一量化结果。</x:v>
      </x:c>
      <x:c r="CA9" t="str">
        <x:v>为双臂策略外部增加安全协调层提供参照。</x:v>
      </x:c>
      <x:c r="CB9" t="str">
        <x:v>需验证在线修正是否破坏原策略的任务意图。</x:v>
      </x:c>
      <x:c r="CC9" t="str"/>
      <x:c r="CD9" t="str">
        <x:v>High：普通夹爪双臂真机必须处理共享空间碰撞。</x:v>
      </x:c>
      <x:c r="CE9" t="str">
        <x:v>OpenAlex 索引摘要; https://api.openalex.org/works/W4404520558; 核验于 2026-09-23. 仅为摘要级速读；原 Evidence Quality 不变。 - 核验层级：摘要有可追溯来源</x:v>
      </x:c>
      <x:c r="CF9" t="str">
        <x:v>crossref-exact-title-official-publisher</x:v>
      </x:c>
      <x:c r="CG9" t="n">
        <x:v>0</x:v>
      </x:c>
      <x:c r="CH9" t="n">
        <x:v>0</x:v>
      </x:c>
    </x:row>
    <x:row r="10" ht="62" customHeight="1">
      <x:c r="A10" t="str">
        <x:v>R009</x:v>
      </x:c>
      <x:c r="B10" t="str">
        <x:v>Evaluating the Effect of State and Action Selection on In-Hand Manipulation Performance for Transferability</x:v>
      </x:c>
      <x:c r="C10" t="str">
        <x:v>Nigel Swenson; Jeremiah Goddard; Xiaoli Z. Fern; Ravi Balasubramanian; Cindy Grimm</x:v>
      </x:c>
      <x:c r="D10" t="n">
        <x:v>2025</x:v>
      </x:c>
      <x:c r="E10" t="str">
        <x:v>RA-L</x:v>
      </x:c>
      <x:c r="F10" t="str">
        <x:v>Robotics Core Journal</x:v>
      </x:c>
      <x:c r="G10" t="str">
        <x:v>Journal Letter</x:v>
      </x:c>
      <x:c r="H10" t="str">
        <x:v>Unknown</x:v>
      </x:c>
      <x:c r="I10" t="str">
        <x:v>Dexterous Manipulation / Sim2Real / Reinforcement Learning</x:v>
      </x:c>
      <x:c r="J10" t="str">
        <x:v>State/action-space transferability</x:v>
      </x:c>
      <x:c r="K10" t="str">
        <x:v>Dexterous; Sim2Real; Reinforcement Learning; Cross-Embodiment</x:v>
      </x:c>
      <x:c r="L10" t="str">
        <x:v>State and action representations may not transfer across reality gaps or hand geometries.</x:v>
      </x:c>
      <x:c r="M10" t="str">
        <x:v>Studies representation choices across two in-hand tasks and two transfer settings.</x:v>
      </x:c>
      <x:c r="N10" t="str">
        <x:v>Reduce hand-specific state information to improve transfer robustness.</x:v>
      </x:c>
      <x:c r="O10" t="e">
        <x:f>HYPERLINK("https://ieeexplore.ieee.org/document/10955245/","论文")</x:f>
        <x:v>HYPERLINK is not implemented. linkLocation=https://ieeexplore.ieee.org/document/10955245/, friendlyName=论文</x:v>
      </x:c>
      <x:c r="P10" t="str">
        <x:v>Unknown</x:v>
      </x:c>
      <x:c r="Q10" t="str">
        <x:v>Unknown</x:v>
      </x:c>
      <x:c r="R10" t="str">
        <x:v>Unknown</x:v>
      </x:c>
      <x:c r="S10" t="str">
        <x:v>Unknown</x:v>
      </x:c>
      <x:c r="T10" t="str">
        <x:v>Two manipulation tasks; release status Unknown</x:v>
      </x:c>
      <x:c r="U10" t="str">
        <x:v>Multiple hand geometries</x:v>
      </x:c>
      <x:c r="V10" t="str">
        <x:v>Dexterous Hand</x:v>
      </x:c>
      <x:c r="W10" t="str">
        <x:v>Mixed</x:v>
      </x:c>
      <x:c r="X10" t="str">
        <x:v>P2</x:v>
      </x:c>
      <x:c r="Y10" t="str">
        <x:v>No</x:v>
      </x:c>
      <x:c r="Z10" t="str">
        <x:v>IEEE Xplore RA-L record verified</x:v>
      </x:c>
      <x:c r="AA10" t="str">
        <x:v>2026-09-19</x:v>
      </x:c>
      <x:c r="AB10" t="str">
        <x:v>Follow-up dexterous extension; no conference-presentation relationship was identified in this pass.</x:v>
      </x:c>
      <x:c r="AC10" t="str">
        <x:v>02_Papers/04_Dexterous/State_Action_Transferability.md</x:v>
      </x:c>
      <x:c r="AD10" t="str">
        <x:v>Robotics Core</x:v>
      </x:c>
      <x:c r="AE10" t="str">
        <x:v>IEEE Xplore abstract</x:v>
      </x:c>
      <x:c r="AF10" t="str">
        <x:v>Abstract-level</x:v>
      </x:c>
      <x:c r="AG10" t="str">
        <x:v>Two exemplar tasks and sim-to-real/cross-hand transfer are reported.</x:v>
      </x:c>
      <x:c r="AH10" t="str">
        <x:v>** Useful for later dexterous-hand extension and embodiment-agnostic action design.</x:v>
      </x:c>
      <x:c r="AI10" t="str">
        <x:v>CCF seventh edition: exact official row pending unless separately evidenced</x:v>
      </x:c>
      <x:c r="AJ10" t="str">
        <x:v>Dexterous</x:v>
      </x:c>
      <x:c r="AK10" t="n">
        <x:v>1</x:v>
      </x:c>
      <x:c r="AL10" t="str">
        <x:v>Crossref</x:v>
      </x:c>
      <x:c r="AM10" t="str">
        <x:v>2026-09-25</x:v>
      </x:c>
      <x:c r="AN10" t="str">
        <x:v>灵巧手策略要跨仿真/现实和不同手型迁移。</x:v>
      </x:c>
      <x:c r="AO10" t="str">
        <x:v>Unknown / Needs Full-Paper Verification</x:v>
      </x:c>
      <x:c r="AP10" t="str">
        <x:v>Reduce hand-specific state information to improve transfer robustness.</x:v>
      </x:c>
      <x:c r="AQ10" t="str">
        <x:v>两项手内操作任务；具体机器人与设置见 RA-L 正文。</x:v>
      </x:c>
      <x:c r="AR10" t="str">
        <x:v>Unknown / Needs Full-Paper Verification</x:v>
      </x:c>
      <x:c r="AS10" t="str">
        <x:v>- Studies representation choices across two in-hand tasks and two transfer settings.</x:v>
      </x:c>
      <x:c r="AT10" t="str">
        <x:v>Two exemplar tasks and sim-to-real/cross-hand transfer are reported.</x:v>
      </x:c>
      <x:c r="AU10" t="str">
        <x:v>IEEE RA-L 摘要报告：在两项示例操作任务中，去除手型特有信息的较小状态空间更利于迁移。</x:v>
      </x:c>
      <x:c r="AV10" t="str">
        <x:v>Unknown / Needs Full-Paper Verification</x:v>
      </x:c>
      <x:c r="AW10" t="str">
        <x:v>Library Analysis / Research Note: Unknown / Needs Full-Paper Verification</x:v>
      </x:c>
      <x:c r="AX10" t="str">
        <x:v>B</x:v>
      </x:c>
      <x:c r="AY10" t="str"/>
      <x:c r="AZ10" t="str">
        <x:v>Unknown / Not Explicitly Reported in the currently accessible sources.</x:v>
      </x:c>
      <x:c r="BA10" t="str">
        <x:v>Unknown / Not Explicitly Reported in the currently accessible sources.</x:v>
      </x:c>
      <x:c r="BB10" t="str">
        <x:v>https://api.crossref.org/works/10.1109/lra.2025.3558699</x:v>
      </x:c>
      <x:c r="BC10" t="str">
        <x:v>IEEE Xplore abstract</x:v>
      </x:c>
      <x:c r="BD10" t="str">
        <x:v>B-Code-Unverified</x:v>
      </x:c>
      <x:c r="BE10" t="str">
        <x:v>Not Found</x:v>
      </x:c>
      <x:c r="BF10" t="str">
        <x:v>Unavailable</x:v>
      </x:c>
      <x:c r="BG10" t="str">
        <x:v>Multiple hand geometries</x:v>
      </x:c>
      <x:c r="BH10"/>
      <x:c r="BI10" t="str">
        <x:v>No</x:v>
      </x:c>
      <x:c r="BJ10" t="str">
        <x:v>No</x:v>
      </x:c>
      <x:c r="BK10" t="str">
        <x:v>No</x:v>
      </x:c>
      <x:c r="BL10" t="str">
        <x:v>No</x:v>
      </x:c>
      <x:c r="BM10" t="str">
        <x:v>No</x:v>
      </x:c>
      <x:c r="BN10" t="str">
        <x:v>No</x:v>
      </x:c>
      <x:c r="BO10" t="str">
        <x:v>No</x:v>
      </x:c>
      <x:c r="BP10" t="str">
        <x:v>Matched</x:v>
      </x:c>
      <x:c r="BQ10" t="str">
        <x:v>Not Found After Verification</x:v>
      </x:c>
      <x:c r="BR10" t="str">
        <x:v>Not Found After Verification</x:v>
      </x:c>
      <x:c r="BS10" t="str">
        <x:v>Audit logged - deep extraction pending</x:v>
      </x:c>
      <x:c r="BT10" t="str">
        <x:v>false</x:v>
      </x:c>
      <x:c r="BU10"/>
      <x:c r="BV10" t="str">
        <x:v>研究问题：灵巧手策略要跨仿真/现实和不同手型迁移。；之前方法的问题：域随机化等方法不能完全弥合观测与动作定义造成的差异。；核心思路：比较不同 State Space 与 Action Space 的选择，检验其对两类迁移的影响。；输入：官方摘要给出任务/数据类型；具体模型张量与接口需核对方法章节。；输出与动作：官方摘要未明确列出完整控制接口；需核对论文方法或代码。；数据集与评测基准：两项手内操作任务；具体机器人与设置见 RA-L 正文。；主要结果：IEEE RA-L 摘要报告：在两项示例操作任务中，去除手型特有信息的较小状态空间更利于迁移。；为什么重要：提醒本项目先确定哪些状态和动作维度可跨两只夹爪复用。；与当前项目的关系：Medium：方法可借鉴，但迁移到当前双臂硬件需验证。；主要局限：本段基于官方摘要；未覆盖全文失败案例、完整 Baseline 与方法消融。</x:v>
      </x:c>
      <x:c r="BW10" t="str">
        <x:v>域随机化等方法不能完全弥合观测与动作定义造成的差异。</x:v>
      </x:c>
      <x:c r="BX10" t="str">
        <x:v>比较不同 State Space 与 Action Space 的选择，检验其对两类迁移的影响。</x:v>
      </x:c>
      <x:c r="BY10" t="str"/>
      <x:c r="BZ10" t="str">
        <x:v>IEEE RA-L 摘要报告：在两项示例操作任务中，去除手型特有信息的较小状态空间更利于迁移。</x:v>
      </x:c>
      <x:c r="CA10" t="str">
        <x:v>提醒本项目先确定哪些状态和动作维度可跨两只夹爪复用。</x:v>
      </x:c>
      <x:c r="CB10" t="str">
        <x:v>本段基于官方摘要；未覆盖全文失败案例、完整 Baseline 与方法消融。</x:v>
      </x:c>
      <x:c r="CC10" t="str"/>
      <x:c r="CD10" t="str">
        <x:v>Medium：方法可借鉴，但迁移到当前双臂硬件需验证。</x:v>
      </x:c>
      <x:c r="CE10" t="str">
        <x:v>官方摘要/论文页：https://ieeexplore.ieee.org/document/10955245/；核验于 2026-09-23。仅为摘要级速读，原 Evidence Quality 不变。 - 核验层级：摘要有可追溯来源</x:v>
      </x:c>
      <x:c r="CF10" t="str">
        <x:v>crossref-exact-title-official-publisher</x:v>
      </x:c>
      <x:c r="CG10" t="n">
        <x:v>0</x:v>
      </x:c>
      <x:c r="CH10" t="n">
        <x:v>0</x:v>
      </x:c>
    </x:row>
    <x:row r="11" ht="62" customHeight="1">
      <x:c r="A11" t="str">
        <x:v>D074</x:v>
      </x:c>
      <x:c r="B11" t="str">
        <x:v>Octo: An Open-Source Generalist Robot Policy</x:v>
      </x:c>
      <x:c r="C11"/>
      <x:c r="D11" t="n">
        <x:v>2024</x:v>
      </x:c>
      <x:c r="E11" t="str">
        <x:v>RSS</x:v>
      </x:c>
      <x:c r="F11" t="str">
        <x:v>Robotics Core Venue</x:v>
      </x:c>
      <x:c r="G11" t="str">
        <x:v>Formal RSS 2024 proceedings</x:v>
      </x:c>
      <x:c r="H11" t="str">
        <x:v>Not CCF A (robotics venue extension)</x:v>
      </x:c>
      <x:c r="I11" t="str">
        <x:v>VLA / Robot Foundation Models; Robot Manipulation / IL / Diffusion</x:v>
      </x:c>
      <x:c r="J11" t="str">
        <x:v>Generalist Policy / Open X-Embodiment</x:v>
      </x:c>
      <x:c r="K11" t="str">
        <x:v>Unknown</x:v>
      </x:c>
      <x:c r="L11"/>
      <x:c r="M11"/>
      <x:c r="N11"/>
      <x:c r="O11" t="e">
        <x:f>HYPERLINK("https://roboticsproceedings.org/rss20/p090.html","论文")</x:f>
        <x:v>HYPERLINK is not implemented. linkLocation=https://roboticsproceedings.org/rss20/p090.html, friendlyName=论文</x:v>
      </x:c>
      <x:c r="P11" t="e">
        <x:f>HYPERLINK("https://octo-models.github.io/","Project")</x:f>
        <x:v>HYPERLINK is not implemented. linkLocation=https://octo-models.github.io/, friendlyName=Project</x:v>
      </x:c>
      <x:c r="Q11" t="e">
        <x:f>HYPERLINK("https://github.com/octo-models/octo","GitHub")</x:f>
        <x:v>HYPERLINK is not implemented. linkLocation=https://github.com/octo-models/octo, friendlyName=GitHub</x:v>
      </x:c>
      <x:c r="R11" t="str">
        <x:v>Released</x:v>
      </x:c>
      <x:c r="S11" t="str">
        <x:v>Author checkpoints; not downloaded</x:v>
      </x:c>
      <x:c r="T11"/>
      <x:c r="U11"/>
      <x:c r="V11" t="str">
        <x:v>Multi-Embodiment / Parallel Gripper</x:v>
      </x:c>
      <x:c r="W11" t="str">
        <x:v>Mixed</x:v>
      </x:c>
      <x:c r="X11" t="str">
        <x:v>P0</x:v>
      </x:c>
      <x:c r="Y11" t="str">
        <x:v>No</x:v>
      </x:c>
      <x:c r="Z11"/>
      <x:c r="AA11"/>
      <x:c r="AB11" t="str">
        <x:v>Official RSS paper reports training over 800K trajectories and evaluation across nine robot platforms.</x:v>
      </x:c>
      <x:c r="AC11" t="str">
        <x:v>02_Papers/01_VLA/Octo.md</x:v>
      </x:c>
      <x:c r="AD11" t="str">
        <x:v>Robotics Core</x:v>
      </x:c>
      <x:c r="AE11"/>
      <x:c r="AF11"/>
      <x:c r="AG11"/>
      <x:c r="AH11" t="str">
        <x:v>Unknown / Needs Project-Specific Review</x:v>
      </x:c>
      <x:c r="AI11" t="str">
        <x:v>CCF seventh edition: exact official row pending unless separately evidenced</x:v>
      </x:c>
      <x:c r="AJ11" t="str">
        <x:v>VLA</x:v>
      </x:c>
      <x:c r="AK11" t="n">
        <x:v>102</x:v>
      </x:c>
      <x:c r="AL11" t="str">
        <x:v>OpenAlex</x:v>
      </x:c>
      <x:c r="AM11" t="str">
        <x:v>2026-09-25</x:v>
      </x:c>
      <x:c r="AN11" t="str">
        <x:v>通用机器人策略需要同时适配不同相机、动作空间和机器人平台。</x:v>
      </x:c>
      <x:c r="AO11" t="str">
        <x:v>Unknown / Needs Full-Paper Verification</x:v>
      </x:c>
      <x:c r="AP11" t="str">
        <x:v>Unknown / Needs Full-Paper Verification</x:v>
      </x:c>
      <x:c r="AQ11" t="str">
        <x:v>从 Open X-Embodiment 整理约 80 万条训练轨迹，在 9 种机器人平台和多项下游任务上评估。</x:v>
      </x:c>
      <x:c r="AR11" t="str">
        <x:v>Unknown / Needs Full-Paper Verification</x:v>
      </x:c>
      <x:c r="AS11" t="str">
        <x:v>Unknown / Needs Full-Paper Verification</x:v>
      </x:c>
      <x:c r="AT11" t="str">
        <x:v>Unknown / Needs Full-Paper Verification</x:v>
      </x:c>
      <x:c r="AU11" t="str">
        <x:v>论文在 9 种机器人平台上评测，表明 Octo 可迁移到新的观测和动作空间；具体成功率见原卡实验表。</x:v>
      </x:c>
      <x:c r="AV11" t="str">
        <x:v>Unknown / Needs Full-Paper Verification</x:v>
      </x:c>
      <x:c r="AW11" t="str">
        <x:v>Library Analysis / Research Note: Unknown / Needs Full-Paper Verification</x:v>
      </x:c>
      <x:c r="AX11" t="str">
        <x:v>A</x:v>
      </x:c>
      <x:c r="AY11" t="str"/>
      <x:c r="AZ11" t="str">
        <x:v>Unknown / Not Explicitly Reported in the currently accessible sources.</x:v>
      </x:c>
      <x:c r="BA11" t="str">
        <x:v>Unknown / Not Explicitly Reported in the currently accessible sources.</x:v>
      </x:c>
      <x:c r="BB11" t="str">
        <x:v>https://openalex.org/W4402353985</x:v>
      </x:c>
      <x:c r="BC11" t="str">
        <x:v>Unknown</x:v>
      </x:c>
      <x:c r="BD11" t="str">
        <x:v>A-Upgraded</x:v>
      </x:c>
      <x:c r="BE11" t="str">
        <x:v>Not Found</x:v>
      </x:c>
      <x:c r="BF11" t="str">
        <x:v>Mostly Complete</x:v>
      </x:c>
      <x:c r="BG11" t="str">
        <x:v>Unknown</x:v>
      </x:c>
      <x:c r="BH11" t="str">
        <x:v>https://roboticsproceedings.org/rss20/p090.pdf</x:v>
      </x:c>
      <x:c r="BI11" t="str">
        <x:v>No</x:v>
      </x:c>
      <x:c r="BJ11" t="str">
        <x:v>No</x:v>
      </x:c>
      <x:c r="BK11" t="str">
        <x:v>No</x:v>
      </x:c>
      <x:c r="BL11" t="str">
        <x:v>No</x:v>
      </x:c>
      <x:c r="BM11" t="str">
        <x:v>No</x:v>
      </x:c>
      <x:c r="BN11" t="str">
        <x:v>No</x:v>
      </x:c>
      <x:c r="BO11" t="str">
        <x:v>No</x:v>
      </x:c>
      <x:c r="BP11" t="str">
        <x:v>Matched</x:v>
      </x:c>
      <x:c r="BQ11" t="str">
        <x:v>Not Found After Verification</x:v>
      </x:c>
      <x:c r="BR11" t="str">
        <x:v>Not Found After Verification</x:v>
      </x:c>
      <x:c r="BS11" t="str">
        <x:v>Audit logged - deep extraction pending</x:v>
      </x:c>
      <x:c r="BT11" t="str">
        <x:v>false</x:v>
      </x:c>
      <x:c r="BU11"/>
      <x:c r="BV11" t="str">
        <x:v>研究问题：通用机器人策略需要同时适配不同相机、动作空间和机器人平台。；之前方法的问题：各机器人平台的相机、动作空间与任务不同，单一策略难以直接跨平台使用。；核心思路：Octo 在 Open X-Embodiment 约 80 万条轨迹上训练 Transformer 策略，并提供可微调的通用初始化。；数据集与评测基准：从 Open X-Embodiment 整理约 80 万条训练轨迹，在 9 种机器人平台和多项下游任务上评估。；主要结果：论文在 9 种机器人平台上评测，表明 Octo 可迁移到新的观测和动作空间；具体成功率见原卡实验表。；为什么重要：是研究共享机器人数据与跨本体微调的重要开放基线。；与当前项目的关系：High：有助于研究语言条件操作与 VLA 设计。；主要局限：训练数据的腕部相机和语言覆盖不均；评测主要在论文列出的单臂/双臂平台。</x:v>
      </x:c>
      <x:c r="BW11" t="str">
        <x:v>各机器人平台的相机、动作空间与任务不同，单一策略难以直接跨平台使用。</x:v>
      </x:c>
      <x:c r="BX11" t="str">
        <x:v>Octo 在 Open X-Embodiment 约 80 万条轨迹上训练 Transformer 策略，并提供可微调的通用初始化。</x:v>
      </x:c>
      <x:c r="BY11" t="str"/>
      <x:c r="BZ11" t="str">
        <x:v>论文在 9 种机器人平台上评测，表明 Octo 可迁移到新的观测和动作空间；具体成功率见原卡实验表。</x:v>
      </x:c>
      <x:c r="CA11" t="str">
        <x:v>是研究共享机器人数据与跨本体微调的重要开放基线。</x:v>
      </x:c>
      <x:c r="CB11" t="str">
        <x:v>训练数据的腕部相机和语言覆盖不均；评测主要在论文列出的单臂/双臂平台。</x:v>
      </x:c>
      <x:c r="CC11" t="str"/>
      <x:c r="CD11" t="str">
        <x:v>High：有助于研究语言条件操作与 VLA 设计。</x:v>
      </x:c>
      <x:c r="CE11" t="str">
        <x:v>官方摘要/论文页; https://arxiv.org/html/2405.12213; 核验于 2026-09-23. 仅为摘要级速读；原 Evidence Quality 不变。 - 核验层级：摘要有可追溯来源</x:v>
      </x:c>
      <x:c r="CF11" t="str">
        <x:v>final-title</x:v>
      </x:c>
      <x:c r="CG11" t="n">
        <x:v>2</x:v>
      </x:c>
      <x:c r="CH11" t="n">
        <x:v>18</x:v>
      </x:c>
    </x:row>
    <x:row r="12" ht="62" customHeight="1">
      <x:c r="A12" t="str">
        <x:v>D075</x:v>
      </x:c>
      <x:c r="B12" t="str">
        <x:v>DROID: A Large-Scale In-The-Wild Robot Manipulation Dataset</x:v>
      </x:c>
      <x:c r="C12"/>
      <x:c r="D12" t="n">
        <x:v>2024</x:v>
      </x:c>
      <x:c r="E12" t="str">
        <x:v>RSS</x:v>
      </x:c>
      <x:c r="F12" t="str">
        <x:v>Robotics Core Venue</x:v>
      </x:c>
      <x:c r="G12" t="str">
        <x:v>Formal RSS 2024 proceedings</x:v>
      </x:c>
      <x:c r="H12" t="str">
        <x:v>Not CCF A (robotics venue extension)</x:v>
      </x:c>
      <x:c r="I12" t="str">
        <x:v>Dataset / Benchmark; Robot Manipulation / IL / Diffusion</x:v>
      </x:c>
      <x:c r="J12" t="str">
        <x:v>Real-World Demonstrations / Data Diversity</x:v>
      </x:c>
      <x:c r="K12" t="str">
        <x:v>Unknown</x:v>
      </x:c>
      <x:c r="L12"/>
      <x:c r="M12"/>
      <x:c r="N12"/>
      <x:c r="O12" t="e">
        <x:f>HYPERLINK("https://roboticsproceedings.org/rss20/p120.html","论文")</x:f>
        <x:v>HYPERLINK is not implemented. linkLocation=https://roboticsproceedings.org/rss20/p120.html, friendlyName=论文</x:v>
      </x:c>
      <x:c r="P12"/>
      <x:c r="Q12" t="e">
        <x:f>HYPERLINK("https://github.com/droid-dataset/droid_policy_learning","GitHub")</x:f>
        <x:v>HYPERLINK is not implemented. linkLocation=https://github.com/droid-dataset/droid_policy_learning, friendlyName=GitHub</x:v>
      </x:c>
      <x:c r="R12" t="str">
        <x:v>Released</x:v>
      </x:c>
      <x:c r="S12"/>
      <x:c r="T12"/>
      <x:c r="U12"/>
      <x:c r="V12" t="str">
        <x:v>Multi-Embodiment / Parallel Gripper</x:v>
      </x:c>
      <x:c r="W12" t="str">
        <x:v>Yes</x:v>
      </x:c>
      <x:c r="X12" t="str">
        <x:v>P0</x:v>
      </x:c>
      <x:c r="Y12" t="str">
        <x:v>No</x:v>
      </x:c>
      <x:c r="Z12"/>
      <x:c r="AA12"/>
      <x:c r="AB12" t="str">
        <x:v>Large real-robot demonstration dataset; download/access and license not reviewed.</x:v>
      </x:c>
      <x:c r="AC12" t="str">
        <x:v>02_Papers/10_Benchmark_Dataset/DROID.md</x:v>
      </x:c>
      <x:c r="AD12" t="str">
        <x:v>Robotics Core</x:v>
      </x:c>
      <x:c r="AE12"/>
      <x:c r="AF12"/>
      <x:c r="AG12"/>
      <x:c r="AH12" t="str">
        <x:v>Unknown / Needs Project-Specific Review</x:v>
      </x:c>
      <x:c r="AI12" t="str">
        <x:v>CCF seventh edition: exact official row pending unless separately evidenced</x:v>
      </x:c>
      <x:c r="AJ12" t="str">
        <x:v>Benchmark / Dataset</x:v>
      </x:c>
      <x:c r="AK12" t="n">
        <x:v>139</x:v>
      </x:c>
      <x:c r="AL12" t="str">
        <x:v>OpenAlex</x:v>
      </x:c>
      <x:c r="AM12" t="str">
        <x:v>2026-09-25</x:v>
      </x:c>
      <x:c r="AN12" t="str">
        <x:v>通用操作策略需要规模大、场景多样且质量可靠的机器人交互数据。</x:v>
      </x:c>
      <x:c r="AO12" t="str">
        <x:v>Unknown / Needs Full-Paper Verification</x:v>
      </x:c>
      <x:c r="AP12" t="str">
        <x:v>Unknown / Needs Full-Paper Verification</x:v>
      </x:c>
      <x:c r="AQ12" t="str">
        <x:v>DROID：约 6.5 万条轨迹／350 小时、564 个场景、86 项任务，50 名采集人员在 12 个月内完成。</x:v>
      </x:c>
      <x:c r="AR12" t="str">
        <x:v>Unknown / Needs Full-Paper Verification</x:v>
      </x:c>
      <x:c r="AS12" t="str">
        <x:v>Unknown / Needs Full-Paper Verification</x:v>
      </x:c>
      <x:c r="AT12" t="str">
        <x:v>Unknown / Needs Full-Paper Verification</x:v>
      </x:c>
      <x:c r="AU12" t="str">
        <x:v>论文摘要报告，使用 DROID 训练的策略在性能、鲁棒性和泛化上改善；此处不附加未经实验表格核实的增幅。</x:v>
      </x:c>
      <x:c r="AV12" t="str">
        <x:v>Unknown / Needs Full-Paper Verification</x:v>
      </x:c>
      <x:c r="AW12" t="str">
        <x:v>Library Analysis / Research Note: Unknown / Needs Full-Paper Verification</x:v>
      </x:c>
      <x:c r="AX12" t="str">
        <x:v>B</x:v>
      </x:c>
      <x:c r="AY12" t="str"/>
      <x:c r="AZ12" t="str">
        <x:v>Unknown / Not Explicitly Reported in the currently accessible sources.</x:v>
      </x:c>
      <x:c r="BA12" t="str">
        <x:v>Unknown / Not Explicitly Reported in the currently accessible sources.</x:v>
      </x:c>
      <x:c r="BB12" t="str">
        <x:v>https://openalex.org/W4402354047</x:v>
      </x:c>
      <x:c r="BC12" t="str">
        <x:v>Unknown</x:v>
      </x:c>
      <x:c r="BD12" t="str">
        <x:v>B-Fulltext-Unavailable</x:v>
      </x:c>
      <x:c r="BE12" t="str">
        <x:v>Not Found</x:v>
      </x:c>
      <x:c r="BF12" t="str">
        <x:v>Mostly Complete</x:v>
      </x:c>
      <x:c r="BG12" t="str">
        <x:v>Unknown</x:v>
      </x:c>
      <x:c r="BH12" t="str">
        <x:v>https://roboticsproceedings.org/rss20/p120.pdf</x:v>
      </x:c>
      <x:c r="BI12" t="str">
        <x:v>No</x:v>
      </x:c>
      <x:c r="BJ12" t="str">
        <x:v>No</x:v>
      </x:c>
      <x:c r="BK12" t="str">
        <x:v>No</x:v>
      </x:c>
      <x:c r="BL12" t="str">
        <x:v>No</x:v>
      </x:c>
      <x:c r="BM12" t="str">
        <x:v>No</x:v>
      </x:c>
      <x:c r="BN12" t="str">
        <x:v>No</x:v>
      </x:c>
      <x:c r="BO12" t="str">
        <x:v>No</x:v>
      </x:c>
      <x:c r="BP12" t="str">
        <x:v>Matched</x:v>
      </x:c>
      <x:c r="BQ12" t="str">
        <x:v>Not Found After Verification</x:v>
      </x:c>
      <x:c r="BR12" t="str">
        <x:v>Not Found After Verification</x:v>
      </x:c>
      <x:c r="BS12" t="str">
        <x:v>Audit logged - deep extraction pending</x:v>
      </x:c>
      <x:c r="BT12" t="str">
        <x:v>false</x:v>
      </x:c>
      <x:c r="BU12"/>
      <x:c r="BV12" t="str">
        <x:v>研究问题：通用操作策略需要规模大、场景多样且质量可靠的机器人交互数据。；之前方法的问题：跨环境采集成本高，并受安全、硬件和人力协调限制。；核心思路：DROID 组织分布式采集，形成 6.5 万条示范轨迹、约 350 小时交互，覆盖 564 个场景和 86 项任务。；数据集与评测基准：DROID：约 6.5 万条轨迹／350 小时、564 个场景、86 项任务，50 名采集人员在 12 个月内完成。；主要结果：论文摘要报告，使用 DROID 训练的策略在性能、鲁棒性和泛化上改善；此处不附加未经实验表格核实的增幅。；为什么重要：为跨场景数据采集和数据规模设计提供具体参照。；与当前项目的关系：Medium：可借鉴采集协议，但需核对与本项目机器人形态和动作接口的差异。；主要局限：摘要不能分离数据量、场景多样性与策略结构各自的贡献。</x:v>
      </x:c>
      <x:c r="BW12" t="str">
        <x:v>跨环境采集成本高，并受安全、硬件和人力协调限制。</x:v>
      </x:c>
      <x:c r="BX12" t="str">
        <x:v>DROID 组织分布式采集，形成 6.5 万条示范轨迹、约 350 小时交互，覆盖 564 个场景和 86 项任务。</x:v>
      </x:c>
      <x:c r="BY12" t="str"/>
      <x:c r="BZ12" t="str">
        <x:v>论文摘要报告，使用 DROID 训练的策略在性能、鲁棒性和泛化上改善；此处不附加未经实验表格核实的增幅。</x:v>
      </x:c>
      <x:c r="CA12" t="str">
        <x:v>为跨场景数据采集和数据规模设计提供具体参照。</x:v>
      </x:c>
      <x:c r="CB12" t="str">
        <x:v>摘要不能分离数据量、场景多样性与策略结构各自的贡献。</x:v>
      </x:c>
      <x:c r="CC12" t="str"/>
      <x:c r="CD12" t="str">
        <x:v>Medium：可借鉴采集协议，但需核对与本项目机器人形态和动作接口的差异。</x:v>
      </x:c>
      <x:c r="CE12" t="str">
        <x:v>官方摘要/论文页; https://roboticsproceedings.org/rss20/p120.html; 核验于 2026-09-23. 仅为摘要级速读；原 Evidence Quality 不变。 - 核验层级：摘要有可追溯来源</x:v>
      </x:c>
      <x:c r="CF12" t="str">
        <x:v>final-title</x:v>
      </x:c>
      <x:c r="CG12" t="n">
        <x:v>0</x:v>
      </x:c>
      <x:c r="CH12" t="n">
        <x:v>14</x:v>
      </x:c>
    </x:row>
    <x:row r="13" ht="62" customHeight="1">
      <x:c r="A13" t="str">
        <x:v>D076</x:v>
      </x:c>
      <x:c r="B13" t="str">
        <x:v>RoboCasa: Large-Scale Simulation of Household Tasks for Generalist Robots</x:v>
      </x:c>
      <x:c r="C13"/>
      <x:c r="D13" t="n">
        <x:v>2024</x:v>
      </x:c>
      <x:c r="E13" t="str">
        <x:v>RSS</x:v>
      </x:c>
      <x:c r="F13" t="str">
        <x:v>Robotics Core Venue</x:v>
      </x:c>
      <x:c r="G13" t="str">
        <x:v>Formal RSS 2024 proceedings</x:v>
      </x:c>
      <x:c r="H13" t="str">
        <x:v>Not CCF A (robotics venue extension)</x:v>
      </x:c>
      <x:c r="I13" t="str">
        <x:v>Dataset / Benchmark; Robot Manipulation / IL / Diffusion</x:v>
      </x:c>
      <x:c r="J13" t="str">
        <x:v>Household Simulation / Generalist Manipulation</x:v>
      </x:c>
      <x:c r="K13" t="str">
        <x:v>Unknown</x:v>
      </x:c>
      <x:c r="L13"/>
      <x:c r="M13"/>
      <x:c r="N13"/>
      <x:c r="O13" t="e">
        <x:f>HYPERLINK("https://www.roboticsproceedings.org/rss20/p050.html","论文")</x:f>
        <x:v>HYPERLINK is not implemented. linkLocation=https://www.roboticsproceedings.org/rss20/p050.html, friendlyName=论文</x:v>
      </x:c>
      <x:c r="P13" t="e">
        <x:f>HYPERLINK("https://robocasa.ai/","Project")</x:f>
        <x:v>HYPERLINK is not implemented. linkLocation=https://robocasa.ai/, friendlyName=Project</x:v>
      </x:c>
      <x:c r="Q13" t="e">
        <x:f>HYPERLINK("https://github.com/robocasa/robocasa","GitHub")</x:f>
        <x:v>HYPERLINK is not implemented. linkLocation=https://github.com/robocasa/robocasa, friendlyName=GitHub</x:v>
      </x:c>
      <x:c r="R13" t="str">
        <x:v>Released（官方仓库已公开；本轮未运行验证）</x:v>
      </x:c>
      <x:c r="S13"/>
      <x:c r="T13"/>
      <x:c r="U13"/>
      <x:c r="V13" t="str">
        <x:v>Single Arm / Parallel Gripper</x:v>
      </x:c>
      <x:c r="W13" t="str">
        <x:v>No (simulation)</x:v>
      </x:c>
      <x:c r="X13" t="str">
        <x:v>P0</x:v>
      </x:c>
      <x:c r="Y13" t="str">
        <x:v>No</x:v>
      </x:c>
      <x:c r="Z13"/>
      <x:c r="AA13"/>
      <x:c r="AB13" t="str">
        <x:v>Simulation benchmark; do not infer real deployment from simulation capability.</x:v>
      </x:c>
      <x:c r="AC13" t="str">
        <x:v>02_Papers/10_Benchmark_Dataset/RoboCasa.md</x:v>
      </x:c>
      <x:c r="AD13" t="str">
        <x:v>Robotics Core</x:v>
      </x:c>
      <x:c r="AE13"/>
      <x:c r="AF13"/>
      <x:c r="AG13"/>
      <x:c r="AH13" t="str">
        <x:v>Unknown / Needs Project-Specific Review</x:v>
      </x:c>
      <x:c r="AI13" t="str">
        <x:v>CCF seventh edition: exact official row pending unless separately evidenced</x:v>
      </x:c>
      <x:c r="AJ13" t="str">
        <x:v>Benchmark / Dataset</x:v>
      </x:c>
      <x:c r="AK13" t="n">
        <x:v>46</x:v>
      </x:c>
      <x:c r="AL13" t="str">
        <x:v>Semantic Scholar</x:v>
      </x:c>
      <x:c r="AM13" t="str">
        <x:v>2026-09-25</x:v>
      </x:c>
      <x:c r="AN13" t="str">
        <x:v>真实机器人数据难以低成本扩展，限制通用家庭操作策略训练。</x:v>
      </x:c>
      <x:c r="AO13" t="str">
        <x:v>Unknown / Needs Full-Paper Verification</x:v>
      </x:c>
      <x:c r="AP13" t="str">
        <x:v>Unknown / Needs Full-Paper Verification</x:v>
      </x:c>
      <x:c r="AQ13" t="str">
        <x:v>RSS 2024 原版 RoboCasa：100 项任务、超过 150 个物体类别及大量 3D 资产；不要与后续 RoboCasa365 的规模混同。</x:v>
      </x:c>
      <x:c r="AR13" t="str">
        <x:v>Unknown / Needs Full-Paper Verification</x:v>
      </x:c>
      <x:c r="AS13" t="str">
        <x:v>Unknown / Needs Full-Paper Verification</x:v>
      </x:c>
      <x:c r="AT13" t="str">
        <x:v>Unknown / Needs Full-Paper Verification</x:v>
      </x:c>
      <x:c r="AU13" t="str">
        <x:v>RSS 官方摘要报告，合成数据用于大规模模仿学习呈现规模效应；本轮不转述未经表格核验的成功率。</x:v>
      </x:c>
      <x:c r="AV13" t="str">
        <x:v>Unknown / Needs Full-Paper Verification</x:v>
      </x:c>
      <x:c r="AW13" t="str">
        <x:v>Library Analysis / Research Note: Unknown / Needs Full-Paper Verification</x:v>
      </x:c>
      <x:c r="AX13" t="str">
        <x:v>B</x:v>
      </x:c>
      <x:c r="AY13" t="str"/>
      <x:c r="AZ13" t="str">
        <x:v>Unknown / Not Explicitly Reported in the currently accessible sources.</x:v>
      </x:c>
      <x:c r="BA13" t="str">
        <x:v>Unknown / Not Explicitly Reported in the currently accessible sources.</x:v>
      </x:c>
      <x:c r="BB13" t="str">
        <x:v>https://www.semanticscholar.org/paper/a294546084fda4e0f12f307caed4f9c58f051632</x:v>
      </x:c>
      <x:c r="BC13" t="str">
        <x:v>Unknown</x:v>
      </x:c>
      <x:c r="BD13" t="str">
        <x:v>B-Fulltext-Unavailable</x:v>
      </x:c>
      <x:c r="BE13" t="str">
        <x:v>Not Found</x:v>
      </x:c>
      <x:c r="BF13" t="str">
        <x:v>Unknown</x:v>
      </x:c>
      <x:c r="BG13" t="str">
        <x:v>Unknown</x:v>
      </x:c>
      <x:c r="BH13" t="e">
        <x:f>HYPERLINK("https://www.roboticsproceedings.org/rss20/p050.pdf","论文")</x:f>
        <x:v>HYPERLINK is not implemented. linkLocation=https://www.roboticsproceedings.org/rss20/p050.pdf, friendlyName=论文</x:v>
      </x:c>
      <x:c r="BI13" t="str">
        <x:v>No</x:v>
      </x:c>
      <x:c r="BJ13" t="str">
        <x:v>No</x:v>
      </x:c>
      <x:c r="BK13" t="str">
        <x:v>No</x:v>
      </x:c>
      <x:c r="BL13" t="str">
        <x:v>No</x:v>
      </x:c>
      <x:c r="BM13" t="str">
        <x:v>No</x:v>
      </x:c>
      <x:c r="BN13" t="str">
        <x:v>No</x:v>
      </x:c>
      <x:c r="BO13" t="str">
        <x:v>No</x:v>
      </x:c>
      <x:c r="BP13" t="str">
        <x:v>Matched</x:v>
      </x:c>
      <x:c r="BQ13" t="str">
        <x:v>Verified DOI</x:v>
      </x:c>
      <x:c r="BR13" t="e">
        <x:f>HYPERLINK("https://arxiv.org/abs/2406.02523","arXiv")</x:f>
        <x:v>HYPERLINK is not implemented. linkLocation=https://arxiv.org/abs/2406.02523, friendlyName=arXiv</x:v>
      </x:c>
      <x:c r="BS13" t="str">
        <x:v>Audit logged - deep extraction pending</x:v>
      </x:c>
      <x:c r="BT13" t="str">
        <x:v>false</x:v>
      </x:c>
      <x:c r="BU13"/>
      <x:c r="BV13" t="str">
        <x:v>研究问题：真实机器人数据难以低成本扩展，限制通用家庭操作策略训练。；之前方法的问题：场景、任务和示范的规模不足；仅靠真机采集难以覆盖家庭环境多样性。；核心思路：RoboCasa 建立以厨房为中心的大规模仿真框架，结合生成式资产、语言模型辅助任务设计、人类示范和自动轨迹生成。；数据集与评测基准：RSS 2024 原版 RoboCasa：100 项任务、超过 150 个物体类别及大量 3D 资产；不要与后续 RoboCasa365 的规模混同。；主要结果：RSS 官方摘要报告，合成数据用于大规模模仿学习呈现规模效应；本轮不转述未经表格核验的成功率。；为什么重要：可用于研究仿真数据扩增及与真实机器人数据联合训练。；与当前项目的关系：Medium：家庭操作仿真可借鉴，但与本项目场景、双臂配置和真实部署有差异。；主要局限：摘要不能保证仿真训练所得提升直接迁移至本项目真机。</x:v>
      </x:c>
      <x:c r="BW13" t="str">
        <x:v>场景、任务和示范的规模不足；仅靠真机采集难以覆盖家庭环境多样性。</x:v>
      </x:c>
      <x:c r="BX13" t="str">
        <x:v>RoboCasa 建立以厨房为中心的大规模仿真框架，结合生成式资产、语言模型辅助任务设计、人类示范和自动轨迹生成。</x:v>
      </x:c>
      <x:c r="BY13" t="str"/>
      <x:c r="BZ13" t="str">
        <x:v>RSS 官方摘要报告，合成数据用于大规模模仿学习呈现规模效应；本轮不转述未经表格核验的成功率。</x:v>
      </x:c>
      <x:c r="CA13" t="str">
        <x:v>可用于研究仿真数据扩增及与真实机器人数据联合训练。</x:v>
      </x:c>
      <x:c r="CB13" t="str">
        <x:v>摘要不能保证仿真训练所得提升直接迁移至本项目真机。</x:v>
      </x:c>
      <x:c r="CC13" t="str"/>
      <x:c r="CD13" t="str">
        <x:v>Medium：家庭操作仿真可借鉴，但与本项目场景、双臂配置和真实部署有差异。</x:v>
      </x:c>
      <x:c r="CE13" t="str">
        <x:v>官方摘要/论文页; https://www.roboticsproceedings.org/rss20/p050.html; 核验于 2026-09-23. 仅为摘要级速读；原 Evidence Quality 不变。 - 核验层级：摘要有可追溯来源</x:v>
      </x:c>
      <x:c r="CF13" t="str">
        <x:v>doi</x:v>
      </x:c>
      <x:c r="CG13" t="n">
        <x:v>0</x:v>
      </x:c>
      <x:c r="CH13" t="n">
        <x:v>1</x:v>
      </x:c>
    </x:row>
    <x:row r="14" ht="62" customHeight="1">
      <x:c r="A14" t="str">
        <x:v>D077</x:v>
      </x:c>
      <x:c r="B14" t="str">
        <x:v>Open X-Embodiment: Robotic Learning Datasets and RT-X Models</x:v>
      </x:c>
      <x:c r="C14"/>
      <x:c r="D14" t="n">
        <x:v>2024</x:v>
      </x:c>
      <x:c r="E14" t="str">
        <x:v>ICRA</x:v>
      </x:c>
      <x:c r="F14" t="str">
        <x:v>Robotics Core Venue</x:v>
      </x:c>
      <x:c r="G14" t="str">
        <x:v>Formal ICRA 2024; DOI 10.1109/ICRA57147.2024.10611477; institutional publication record cross-check</x:v>
      </x:c>
      <x:c r="H14" t="str">
        <x:v>B (2026 CCF Seventh Edition; user-specified, official row pending recheck)</x:v>
      </x:c>
      <x:c r="I14" t="str">
        <x:v>Dataset / Benchmark; VLA / Robot Foundation Models</x:v>
      </x:c>
      <x:c r="J14" t="str">
        <x:v>Cross-Embodiment / Robot Demonstration</x:v>
      </x:c>
      <x:c r="K14" t="str">
        <x:v>Unknown</x:v>
      </x:c>
      <x:c r="L14"/>
      <x:c r="M14"/>
      <x:c r="N14"/>
      <x:c r="O14" t="e">
        <x:f>HYPERLINK("https://ieeexplore.ieee.org/document/10611477","论文")</x:f>
        <x:v>HYPERLINK is not implemented. linkLocation=https://ieeexplore.ieee.org/document/10611477, friendlyName=论文</x:v>
      </x:c>
      <x:c r="P14"/>
      <x:c r="Q14" t="e">
        <x:f>HYPERLINK("https://github.com/google-deepmind/open_x_embodiment","GitHub")</x:f>
        <x:v>HYPERLINK is not implemented. linkLocation=https://github.com/google-deepmind/open_x_embodiment, friendlyName=GitHub</x:v>
      </x:c>
      <x:c r="R14" t="str">
        <x:v>Released</x:v>
      </x:c>
      <x:c r="S14"/>
      <x:c r="T14"/>
      <x:c r="U14"/>
      <x:c r="V14" t="str">
        <x:v>Multi-Embodiment / Parallel Gripper</x:v>
      </x:c>
      <x:c r="W14" t="str">
        <x:v>Yes</x:v>
      </x:c>
      <x:c r="X14" t="str">
        <x:v>P0</x:v>
      </x:c>
      <x:c r="Y14" t="str">
        <x:v>No</x:v>
      </x:c>
      <x:c r="Z14"/>
      <x:c r="AA14"/>
      <x:c r="AB14" t="str">
        <x:v>ICRA is CCF B according to provided 7th-edition direction; not a CCF A venue.</x:v>
      </x:c>
      <x:c r="AC14" t="str">
        <x:v>02_Papers/10_Benchmark_Dataset/Open_X-Embodiment.md</x:v>
      </x:c>
      <x:c r="AD14" t="str">
        <x:v>Robotics Core</x:v>
      </x:c>
      <x:c r="AE14"/>
      <x:c r="AF14"/>
      <x:c r="AG14"/>
      <x:c r="AH14" t="str">
        <x:v>Unknown / Needs Project-Specific Review</x:v>
      </x:c>
      <x:c r="AI14" t="str">
        <x:v>CCF seventh edition: exact official row pending unless separately evidenced</x:v>
      </x:c>
      <x:c r="AJ14" t="str">
        <x:v>Benchmark / Dataset</x:v>
      </x:c>
      <x:c r="AK14" t="n">
        <x:v>103</x:v>
      </x:c>
      <x:c r="AL14" t="str">
        <x:v>OpenAlex</x:v>
      </x:c>
      <x:c r="AM14" t="str">
        <x:v>2026-09-25</x:v>
      </x:c>
      <x:c r="AN14" t="str">
        <x:v>机器人数据分散在不同机构、平台和格式中，难以训练通用策略。</x:v>
      </x:c>
      <x:c r="AO14" t="str">
        <x:v>Unknown / Needs Full-Paper Verification</x:v>
      </x:c>
      <x:c r="AP14" t="str">
        <x:v>Unknown / Needs Full-Paper Verification</x:v>
      </x:c>
      <x:c r="AQ14" t="str">
        <x:v>Open X-Embodiment 数据混合及 RT-X 评测。</x:v>
      </x:c>
      <x:c r="AR14" t="str">
        <x:v>Unknown / Needs Full-Paper Verification</x:v>
      </x:c>
      <x:c r="AS14" t="str">
        <x:v>Unknown / Needs Full-Paper Verification</x:v>
      </x:c>
      <x:c r="AT14" t="str">
        <x:v>Unknown / Needs Full-Paper Verification</x:v>
      </x:c>
      <x:c r="AU14" t="str">
        <x:v>官方项目与论文报告跨机器人训练带来的泛化收益；具体任务数值见原论文。</x:v>
      </x:c>
      <x:c r="AV14" t="str">
        <x:v>Unknown / Needs Full-Paper Verification</x:v>
      </x:c>
      <x:c r="AW14" t="str">
        <x:v>Library Analysis / Research Note: Unknown / Needs Full-Paper Verification</x:v>
      </x:c>
      <x:c r="AX14" t="str">
        <x:v>B</x:v>
      </x:c>
      <x:c r="AY14" t="str"/>
      <x:c r="AZ14" t="str">
        <x:v>Unknown / Not Explicitly Reported in the currently accessible sources.</x:v>
      </x:c>
      <x:c r="BA14" t="str">
        <x:v>Unknown / Not Explicitly Reported in the currently accessible sources.</x:v>
      </x:c>
      <x:c r="BB14" t="str">
        <x:v>https://openalex.org/W4387764390</x:v>
      </x:c>
      <x:c r="BC14" t="str">
        <x:v>Unknown</x:v>
      </x:c>
      <x:c r="BD14" t="str">
        <x:v>B-Fulltext-Unavailable</x:v>
      </x:c>
      <x:c r="BE14" t="str">
        <x:v>Not Found</x:v>
      </x:c>
      <x:c r="BF14" t="str">
        <x:v>Mostly Complete</x:v>
      </x:c>
      <x:c r="BG14" t="str">
        <x:v>Unknown</x:v>
      </x:c>
      <x:c r="BH14" t="str">
        <x:v>https://arxiv.org/pdf/2310.08864</x:v>
      </x:c>
      <x:c r="BI14" t="str">
        <x:v>No</x:v>
      </x:c>
      <x:c r="BJ14" t="str">
        <x:v>No</x:v>
      </x:c>
      <x:c r="BK14" t="str">
        <x:v>No</x:v>
      </x:c>
      <x:c r="BL14" t="str">
        <x:v>No</x:v>
      </x:c>
      <x:c r="BM14" t="str">
        <x:v>No</x:v>
      </x:c>
      <x:c r="BN14" t="str">
        <x:v>No</x:v>
      </x:c>
      <x:c r="BO14" t="str">
        <x:v>No</x:v>
      </x:c>
      <x:c r="BP14" t="str">
        <x:v>Matched</x:v>
      </x:c>
      <x:c r="BQ14" t="str">
        <x:v>Not Found After Verification</x:v>
      </x:c>
      <x:c r="BR14" t="str">
        <x:v>Not Found After Verification</x:v>
      </x:c>
      <x:c r="BS14" t="str">
        <x:v>Audit logged - deep extraction pending</x:v>
      </x:c>
      <x:c r="BT14" t="str">
        <x:v>false</x:v>
      </x:c>
      <x:c r="BU14"/>
      <x:c r="BV14" t="str">
        <x:v>研究问题：机器人数据分散在不同机构、平台和格式中，难以训练通用策略。；之前方法的问题：每个机器人和任务单独训练模型，跨平台复用成本高。；核心思路：Open X-Embodiment 整合标准化的跨机器人数据，并训练 RT-X 模型测试共享学习。；输入：官方摘要给出任务/数据类型；具体模型张量与接口需核对方法章节。；输出与动作：官方摘要未明确列出完整控制接口；需核对论文方法或代码。；数据集与评测基准：Open X-Embodiment 数据混合及 RT-X 评测。；主要结果：官方项目与论文报告跨机器人训练带来的泛化收益；具体任务数值见原论文。；为什么重要：是审计跨本体数据、动作格式和策略迁移的基础入口。；与当前项目的关系：Medium：方法可借鉴，但迁移到当前双臂硬件需验证。；主要局限：本段基于官方摘要；未覆盖全文失败案例、完整 Baseline 与方法消融。</x:v>
      </x:c>
      <x:c r="BW14" t="str">
        <x:v>每个机器人和任务单独训练模型，跨平台复用成本高。</x:v>
      </x:c>
      <x:c r="BX14" t="str">
        <x:v>Open X-Embodiment 整合标准化的跨机器人数据，并训练 RT-X 模型测试共享学习。</x:v>
      </x:c>
      <x:c r="BY14" t="str"/>
      <x:c r="BZ14" t="str">
        <x:v>官方项目与论文报告跨机器人训练带来的泛化收益；具体任务数值见原论文。</x:v>
      </x:c>
      <x:c r="CA14" t="str">
        <x:v>是审计跨本体数据、动作格式和策略迁移的基础入口。</x:v>
      </x:c>
      <x:c r="CB14" t="str">
        <x:v>本段基于官方摘要；未覆盖全文失败案例、完整 Baseline 与方法消融。</x:v>
      </x:c>
      <x:c r="CC14" t="str"/>
      <x:c r="CD14" t="str">
        <x:v>Medium：方法可借鉴，但迁移到当前双臂硬件需验证。</x:v>
      </x:c>
      <x:c r="CE14" t="str">
        <x:v>官方摘要/论文页：https://robotics-transformer-x.github.io/；核验于 2026-09-23。仅为摘要级速读，原 Evidence Quality 不变。 - 核验层级：摘要有可追溯来源</x:v>
      </x:c>
      <x:c r="CF14" t="str">
        <x:v>arxiv-source-exact</x:v>
      </x:c>
      <x:c r="CG14" t="n">
        <x:v>0</x:v>
      </x:c>
      <x:c r="CH14" t="n">
        <x:v>21</x:v>
      </x:c>
    </x:row>
    <x:row r="15">
      <x:c r="A15" t="str">
        <x:v>R014</x:v>
      </x:c>
      <x:c r="B15" t="str">
        <x:v>Do As I Can, Not As I Say: Grounding Language in Robotic Affordances</x:v>
      </x:c>
      <x:c r="C15" t="str">
        <x:v>Michael Ahn et al.</x:v>
      </x:c>
      <x:c r="D15" t="n">
        <x:v>2022</x:v>
      </x:c>
      <x:c r="E15" t="str">
        <x:v>CoRL</x:v>
      </x:c>
      <x:c r="F15" t="str">
        <x:v>Robotics Core Venue</x:v>
      </x:c>
      <x:c r="G15" t="str">
        <x:v>Full Conference Paper; PMLR 205</x:v>
      </x:c>
      <x:c r="H15" t="str">
        <x:v>Not CCF A</x:v>
      </x:c>
      <x:c r="I15" t="str">
        <x:v>VLA / Robot Manipulation / Language Grounding</x:v>
      </x:c>
      <x:c r="J15" t="str">
        <x:v>Language-conditioned planning / affordance grounding</x:v>
      </x:c>
      <x:c r="K15" t="str">
        <x:v>VLA; Robot Manipulation; Language Grounding; Affordance; Long-horizon; Planning; RL; IL; Sim2Real</x:v>
      </x:c>
      <x:c r="L15" t="str">
        <x:v>LLMs lack embodiment and execution grounding.</x:v>
      </x:c>
      <x:c r="M15" t="str">
        <x:v>Multiplicative language-usefulness and affordance-feasibility scoring over skills.</x:v>
      </x:c>
      <x:c r="N15" t="str">
        <x:v>Say + Can; receding-horizon selection.</x:v>
      </x:c>
      <x:c r="O15" t="e">
        <x:f>HYPERLINK("https://research.google/pubs/do-as-i-can-not-as-i-say-grounding-language-in-robotic-affordances/","论文")</x:f>
        <x:v>HYPERLINK is not implemented. linkLocation=https://research.google/pubs/do-as-i-can-not-as-i-say-grounding-language-in-robotic-affordances/, friendlyName=论文</x:v>
      </x:c>
      <x:c r="P15" t="e">
        <x:f>HYPERLINK("https://say-can.github.io/","Project")</x:f>
        <x:v>HYPERLINK is not implemented. linkLocation=https://say-can.github.io/, friendlyName=Project</x:v>
      </x:c>
      <x:c r="Q15" t="e">
        <x:f>HYPERLINK("https://github.com/google-research/google-research/tree/master/saycan","GitHub")</x:f>
        <x:v>HYPERLINK is not implemented. linkLocation=https://github.com/google-research/google-research/tree/master/saycan, friendlyName=GitHub</x:v>
      </x:c>
      <x:c r="R15" t="str">
        <x:v>Partial - official tabletop simulation</x:v>
      </x:c>
      <x:c r="S15" t="str">
        <x:v>Not released as complete original stack</x:v>
      </x:c>
      <x:c r="T15" t="str">
        <x:v>SayCan dataset v0; 68k demos/12k successful episodes reported by official sources</x:v>
      </x:c>
      <x:c r="U15" t="str">
        <x:v>Everyday Robots mobile manipulator</x:v>
      </x:c>
      <x:c r="V15" t="str">
        <x:v>Single arm / two-finger gripper</x:v>
      </x:c>
      <x:c r="W15" t="str">
        <x:v>Yes</x:v>
      </x:c>
      <x:c r="X15" t="str">
        <x:v>P0</x:v>
      </x:c>
      <x:c r="Y15" t="str">
        <x:v>Yes</x:v>
      </x:c>
      <x:c r="Z15" t="str">
        <x:v>Official full paper, project page, PMLR and code entry verified</x:v>
      </x:c>
      <x:c r="AA15" t="str">
        <x:v>2026-09-22</x:v>
      </x:c>
      <x:c r="AB15" t="str">
        <x:v>Full-text Evidence A; Table 2: Mock 84/74, Real 81/60; 551 skills, 7 families, 17 objects.</x:v>
      </x:c>
      <x:c r="AC15" t="str">
        <x:v>02_Papers/01_VLA/SayCan.md</x:v>
      </x:c>
      <x:c r="AD15" t="str">
        <x:v>Robotics Core / VLA</x:v>
      </x:c>
      <x:c r="AE15" t="str">
        <x:v>Google Research; arXiv HTML; CoRL/PMLR; SayCan project page; official repository</x:v>
      </x:c>
      <x:c r="AF15" t="str">
        <x:v>Full paper + appendices</x:v>
      </x:c>
      <x:c r="AG15" t="str">
        <x:v>101 instructions; mock and real office kitchens; 7 families</x:v>
      </x:c>
      <x:c r="AH15" t="str">
        <x:v>Feasibility scoring, joint-arm affordance and verification/replanning inspirations</x:v>
      </x:c>
      <x:c r="AI15" t="str">
        <x:v>Current CCF check: no CCF-A assignment recorded</x:v>
      </x:c>
      <x:c r="AJ15" t="str">
        <x:v>VLA</x:v>
      </x:c>
      <x:c r="AK15" t="n">
        <x:v>523</x:v>
      </x:c>
      <x:c r="AL15" t="str">
        <x:v>OpenAlex</x:v>
      </x:c>
      <x:c r="AM15" t="str">
        <x:v>2026-09-25</x:v>
      </x:c>
      <x:c r="AN15" t="str">
        <x:v>LLM 能拆解长指令，但不知道当前机器人真正能做什么。</x:v>
      </x:c>
      <x:c r="AO15" t="str">
        <x:v>Useful decomposition and feasible execution were not jointly scored.</x:v>
      </x:c>
      <x:c r="AP15" t="str">
        <x:v>SayCan p(cπ|s,ℓπ) × p(ℓπ|i), skill-level receding horizon.</x:v>
      </x:c>
      <x:c r="AQ15" t="str">
        <x:v>Mock Kitchen 与真实办公室厨房任务。</x:v>
      </x:c>
      <x:c r="AR15" t="str">
        <x:v>No VF; Generative; FLAN-SayCan; BC NL/USE.</x:v>
      </x:c>
      <x:c r="AS15" t="str">
        <x:v>Interpretable grounded skill composition.</x:v>
      </x:c>
      <x:c r="AT15" t="str">
        <x:v>Mobile manipulator, PaLM 540B, 551 skills.</x:v>
      </x:c>
      <x:c r="AU15" t="str">
        <x:v>Mock 84/74; Real 81/60; FLAN 70/61; drawer 100/33.</x:v>
      </x:c>
      <x:c r="AV15" t="str">
        <x:v>Fixed skill library, current-step value feedback, execution/recovery gaps.</x:v>
      </x:c>
      <x:c r="AW15" t="str">
        <x:v>Skill synthesis, contact-level grounding, recovery, bimanual joint feasibility.</x:v>
      </x:c>
      <x:c r="AX15" t="str">
        <x:v>A</x:v>
      </x:c>
      <x:c r="AY15" t="str"/>
      <x:c r="AZ15" t="str">
        <x:v>No VF/Generative/BC; LLM size; drawer/CoT/multilingual.</x:v>
      </x:c>
      <x:c r="BA15" t="str">
        <x:v>Planning errors, low-level execution, drawer manipulation, embodiment limits.</x:v>
      </x:c>
      <x:c r="BB15" t="str">
        <x:v>https://openalex.org/W4224912544</x:v>
      </x:c>
      <x:c r="BC15" t="str">
        <x:v>Google Research; arXiv; CoRL/PMLR; project page; official repository</x:v>
      </x:c>
      <x:c r="BD15" t="str">
        <x:v>A-Upgraded</x:v>
      </x:c>
      <x:c r="BE15" t="str">
        <x:v>Available - Verified</x:v>
      </x:c>
      <x:c r="BF15" t="str">
        <x:v>Partial</x:v>
      </x:c>
      <x:c r="BG15" t="str">
        <x:v>Yes</x:v>
      </x:c>
      <x:c r="BH15" t="e">
        <x:f>HYPERLINK("https://arxiv.org/html/2204.01691","论文")</x:f>
        <x:v>HYPERLINK is not implemented. linkLocation=https://arxiv.org/html/2204.01691, friendlyName=论文</x:v>
      </x:c>
      <x:c r="BI15" t="str">
        <x:v>Yes</x:v>
      </x:c>
      <x:c r="BJ15" t="str">
        <x:v>Yes</x:v>
      </x:c>
      <x:c r="BK15" t="str">
        <x:v>Yes</x:v>
      </x:c>
      <x:c r="BL15" t="str">
        <x:v>Yes</x:v>
      </x:c>
      <x:c r="BM15" t="str">
        <x:v>Yes</x:v>
      </x:c>
      <x:c r="BN15" t="str">
        <x:v>Yes</x:v>
      </x:c>
      <x:c r="BO15" t="str">
        <x:v>Yes</x:v>
      </x:c>
      <x:c r="BP15" t="str">
        <x:v>Matched</x:v>
      </x:c>
      <x:c r="BQ15" t="e">
        <x:f>HYPERLINK("https://doi.org/10.48550/arXiv.2204.01691","DOI")</x:f>
        <x:v>HYPERLINK is not implemented. linkLocation=https://doi.org/10.48550/arXiv.2204.01691, friendlyName=DOI</x:v>
      </x:c>
      <x:c r="BR15" t="e">
        <x:f>HYPERLINK("https://arxiv.org/abs/2204.01691","arXiv")</x:f>
        <x:v>HYPERLINK is not implemented. linkLocation=https://arxiv.org/abs/2204.01691, friendlyName=arXiv</x:v>
      </x:c>
      <x:c r="BS15" t="str">
        <x:v>Completed - Full text read</x:v>
      </x:c>
      <x:c r="BT15" t="str">
        <x:v>true</x:v>
      </x:c>
      <x:c r="BU15" t="str">
        <x:v>Completed-A</x:v>
      </x:c>
      <x:c r="BV15" t="str">
        <x:v>研究问题：LLM 能拆解长指令，但不知道当前机器人真正能做什么。；之前方法的问题：只按语言相关性选技能，可能生成物理上不可执行的计划。；核心思路：SayCan 结合语言模型的技能匹配分数与技能价值/可供性估计，逐步选择当前可执行的操作。；数据集与评测基准：Mock Kitchen 与真实办公室厨房任务。；为什么重要：把语言规划和机器人可执行性明确连接起来。；与当前项目的关系：High：双臂普通夹爪需要在动作前判断技能是否可行。；主要局限：技能库、价值估计和环境假设依赖特定机器人；规划成功不保证动作完成。</x:v>
      </x:c>
      <x:c r="BW15" t="str">
        <x:v>只按语言相关性选技能，可能生成物理上不可执行的计划。</x:v>
      </x:c>
      <x:c r="BX15" t="str">
        <x:v>SayCan 结合语言模型的技能匹配分数与技能价值/可供性估计，逐步选择当前可执行的操作。</x:v>
      </x:c>
      <x:c r="BY15" t="str"/>
      <x:c r="BZ15" t="str">
        <x:v>卡片记录 Mock Kitchen 101 条指令中规划成功 84%、物理执行 74%；真实办公室厨房规划 81%，完整执行值见 Table 2。</x:v>
      </x:c>
      <x:c r="CA15" t="str">
        <x:v>把语言规划和机器人可执行性明确连接起来。</x:v>
      </x:c>
      <x:c r="CB15" t="str">
        <x:v>技能库、价值估计和环境假设依赖特定机器人；规划成功不保证动作完成。</x:v>
      </x:c>
      <x:c r="CC15" t="str">
        <x:v>1. Open-ended tasks outside the fixed skill library remain unsupported (Sec. 3–4 evidence).
2. Continuous action and contact-level grounding remain inside pretrained policies rather than the LLM planner (Sec. 4 / Appendix C).
3. Execution verification and recovery after an unsuccessful skill are not closed-loop in vanilla SayCan (Sec. 5.2 and project page).
4. Long-horizon compounding failures remain visible in plan–execute gaps and drawer results (Tables 2, 3 and 8).
5. Joint feasibility and role allocation for bimanual ordinary-gripper systems are not evaluated (library/project analysis).</x:v>
      </x:c>
      <x:c r="CD15" t="str">
        <x:v>High：双臂普通夹爪需要在动作前判断技能是否可行。</x:v>
      </x:c>
      <x:c r="CE15" t="str">
        <x:v>官方摘要/论文页; https://arxiv.org/html/2204.01691; 核验于 2026-09-23. 仅为摘要级速读；原 Evidence Quality 不变。 - 核验层级：摘要有可追溯来源</x:v>
      </x:c>
      <x:c r="CF15" t="str">
        <x:v>doi</x:v>
      </x:c>
      <x:c r="CG15" t="n">
        <x:v>0</x:v>
      </x:c>
      <x:c r="CH15" t="n">
        <x:v>7</x:v>
      </x:c>
    </x:row>
  </x:sheetData>
  <x:dataValidations count="4">
    <x:dataValidation type="list" sqref="R2:R14">
      <x:formula1>"Released,Partial,Coming Soon,None,Unknown"</x:formula1>
    </x:dataValidation>
    <x:dataValidation type="list" sqref="W2:W14">
      <x:formula1>"Yes,No,Mixed,Unknown"</x:formula1>
    </x:dataValidation>
    <x:dataValidation type="list" sqref="X2:X14">
      <x:formula1>"P0,P1,P2,P3"</x:formula1>
    </x:dataValidation>
    <x:dataValidation type="list" sqref="Y2:Y14">
      <x:formula1>"Yes,No"</x:formula1>
    </x:dataValidation>
  </x:dataValidations>
  <x:pageMargins left="0.7" right="0.7" top="0.75" bottom="0.75" header="0.3" footer="0.3"/>
  <x:tableParts count="1">
    <x:tablePart xmlns:r="http://schemas.openxmlformats.org/officeDocument/2006/relationships" r:id="R7d883dfc0d7141c9"/>
  </x:tableParts>
</x:worksheet>
</file>